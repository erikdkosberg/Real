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7108kosbere\Desktop\"/>
    </mc:Choice>
  </mc:AlternateContent>
  <bookViews>
    <workbookView xWindow="0" yWindow="0" windowWidth="28800" windowHeight="12300" activeTab="1"/>
  </bookViews>
  <sheets>
    <sheet name="Key" sheetId="3" r:id="rId1"/>
    <sheet name="Monte Carlo Cash Flows" sheetId="5" r:id="rId2"/>
    <sheet name="Question" sheetId="4" r:id="rId3"/>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6" i="5" l="1"/>
  <c r="H9" i="5" l="1"/>
  <c r="I9" i="5"/>
  <c r="J9" i="5"/>
  <c r="K9" i="5"/>
  <c r="G9" i="5"/>
  <c r="K27" i="5" l="1"/>
  <c r="F25" i="5"/>
  <c r="F24" i="5"/>
  <c r="F28" i="5" s="1"/>
  <c r="H8" i="5"/>
  <c r="I8" i="5" s="1"/>
  <c r="J8" i="5" s="1"/>
  <c r="K8" i="5" s="1"/>
  <c r="G8" i="5"/>
  <c r="C27" i="5"/>
  <c r="K10" i="5" s="1"/>
  <c r="K19" i="5" s="1"/>
  <c r="G4" i="5"/>
  <c r="H4" i="5" s="1"/>
  <c r="D35" i="5" l="1"/>
  <c r="D39" i="5"/>
  <c r="D43" i="5"/>
  <c r="C43" i="5" s="1"/>
  <c r="D47" i="5"/>
  <c r="C47" i="5" s="1"/>
  <c r="D51" i="5"/>
  <c r="D55" i="5"/>
  <c r="D59" i="5"/>
  <c r="D63" i="5"/>
  <c r="C63" i="5" s="1"/>
  <c r="D67" i="5"/>
  <c r="D71" i="5"/>
  <c r="D75" i="5"/>
  <c r="D79" i="5"/>
  <c r="C79" i="5" s="1"/>
  <c r="D83" i="5"/>
  <c r="D87" i="5"/>
  <c r="C87" i="5" s="1"/>
  <c r="D91" i="5"/>
  <c r="D95" i="5"/>
  <c r="D99" i="5"/>
  <c r="D103" i="5"/>
  <c r="D107" i="5"/>
  <c r="D111" i="5"/>
  <c r="C111" i="5" s="1"/>
  <c r="D115" i="5"/>
  <c r="D119" i="5"/>
  <c r="D123" i="5"/>
  <c r="D127" i="5"/>
  <c r="C127" i="5" s="1"/>
  <c r="D131" i="5"/>
  <c r="D135" i="5"/>
  <c r="D139" i="5"/>
  <c r="D143" i="5"/>
  <c r="C143" i="5" s="1"/>
  <c r="D147" i="5"/>
  <c r="D151" i="5"/>
  <c r="C151" i="5" s="1"/>
  <c r="D155" i="5"/>
  <c r="D159" i="5"/>
  <c r="C159" i="5" s="1"/>
  <c r="D163" i="5"/>
  <c r="D167" i="5"/>
  <c r="D171" i="5"/>
  <c r="D175" i="5"/>
  <c r="D179" i="5"/>
  <c r="D183" i="5"/>
  <c r="D187" i="5"/>
  <c r="D191" i="5"/>
  <c r="C191" i="5" s="1"/>
  <c r="D195" i="5"/>
  <c r="D199" i="5"/>
  <c r="D203" i="5"/>
  <c r="D207" i="5"/>
  <c r="D211" i="5"/>
  <c r="C211" i="5" s="1"/>
  <c r="D215" i="5"/>
  <c r="D219" i="5"/>
  <c r="D223" i="5"/>
  <c r="C223" i="5" s="1"/>
  <c r="D227" i="5"/>
  <c r="D231" i="5"/>
  <c r="D235" i="5"/>
  <c r="D239" i="5"/>
  <c r="C239" i="5" s="1"/>
  <c r="D243" i="5"/>
  <c r="D247" i="5"/>
  <c r="D251" i="5"/>
  <c r="D255" i="5"/>
  <c r="C255" i="5" s="1"/>
  <c r="D259" i="5"/>
  <c r="D263" i="5"/>
  <c r="D267" i="5"/>
  <c r="D271" i="5"/>
  <c r="C271" i="5" s="1"/>
  <c r="D275" i="5"/>
  <c r="C275" i="5" s="1"/>
  <c r="D279" i="5"/>
  <c r="D283" i="5"/>
  <c r="D287" i="5"/>
  <c r="C287" i="5" s="1"/>
  <c r="D291" i="5"/>
  <c r="D295" i="5"/>
  <c r="C295" i="5" s="1"/>
  <c r="D299" i="5"/>
  <c r="D303" i="5"/>
  <c r="C303" i="5" s="1"/>
  <c r="D307" i="5"/>
  <c r="D311" i="5"/>
  <c r="C311" i="5" s="1"/>
  <c r="D315" i="5"/>
  <c r="D319" i="5"/>
  <c r="D323" i="5"/>
  <c r="D327" i="5"/>
  <c r="D331" i="5"/>
  <c r="D36" i="5"/>
  <c r="C36" i="5" s="1"/>
  <c r="D40" i="5"/>
  <c r="C40" i="5" s="1"/>
  <c r="D44" i="5"/>
  <c r="C44" i="5" s="1"/>
  <c r="D48" i="5"/>
  <c r="D52" i="5"/>
  <c r="D56" i="5"/>
  <c r="D60" i="5"/>
  <c r="D64" i="5"/>
  <c r="D68" i="5"/>
  <c r="D72" i="5"/>
  <c r="D37" i="5"/>
  <c r="D41" i="5"/>
  <c r="C41" i="5" s="1"/>
  <c r="D45" i="5"/>
  <c r="C45" i="5" s="1"/>
  <c r="D49" i="5"/>
  <c r="C49" i="5" s="1"/>
  <c r="D53" i="5"/>
  <c r="D57" i="5"/>
  <c r="D61" i="5"/>
  <c r="C61" i="5" s="1"/>
  <c r="D65" i="5"/>
  <c r="C65" i="5" s="1"/>
  <c r="D69" i="5"/>
  <c r="D73" i="5"/>
  <c r="C73" i="5" s="1"/>
  <c r="D77" i="5"/>
  <c r="C77" i="5" s="1"/>
  <c r="D81" i="5"/>
  <c r="C81" i="5" s="1"/>
  <c r="D85" i="5"/>
  <c r="D89" i="5"/>
  <c r="C89" i="5" s="1"/>
  <c r="D93" i="5"/>
  <c r="C93" i="5" s="1"/>
  <c r="D97" i="5"/>
  <c r="C97" i="5" s="1"/>
  <c r="D101" i="5"/>
  <c r="D105" i="5"/>
  <c r="D109" i="5"/>
  <c r="C109" i="5" s="1"/>
  <c r="D113" i="5"/>
  <c r="C113" i="5" s="1"/>
  <c r="D117" i="5"/>
  <c r="D121" i="5"/>
  <c r="D125" i="5"/>
  <c r="D129" i="5"/>
  <c r="C129" i="5" s="1"/>
  <c r="D133" i="5"/>
  <c r="D137" i="5"/>
  <c r="C137" i="5" s="1"/>
  <c r="D141" i="5"/>
  <c r="C141" i="5" s="1"/>
  <c r="D145" i="5"/>
  <c r="C145" i="5" s="1"/>
  <c r="D149" i="5"/>
  <c r="D153" i="5"/>
  <c r="C153" i="5" s="1"/>
  <c r="D157" i="5"/>
  <c r="C157" i="5" s="1"/>
  <c r="D161" i="5"/>
  <c r="C161" i="5" s="1"/>
  <c r="D165" i="5"/>
  <c r="D169" i="5"/>
  <c r="D173" i="5"/>
  <c r="C173" i="5" s="1"/>
  <c r="D177" i="5"/>
  <c r="C177" i="5" s="1"/>
  <c r="D181" i="5"/>
  <c r="D185" i="5"/>
  <c r="C185" i="5" s="1"/>
  <c r="D189" i="5"/>
  <c r="C189" i="5" s="1"/>
  <c r="D193" i="5"/>
  <c r="D197" i="5"/>
  <c r="C197" i="5" s="1"/>
  <c r="D201" i="5"/>
  <c r="D205" i="5"/>
  <c r="C205" i="5" s="1"/>
  <c r="D209" i="5"/>
  <c r="C209" i="5" s="1"/>
  <c r="D213" i="5"/>
  <c r="D217" i="5"/>
  <c r="C217" i="5" s="1"/>
  <c r="D221" i="5"/>
  <c r="C221" i="5" s="1"/>
  <c r="D225" i="5"/>
  <c r="D229" i="5"/>
  <c r="D233" i="5"/>
  <c r="D237" i="5"/>
  <c r="C237" i="5" s="1"/>
  <c r="D241" i="5"/>
  <c r="D245" i="5"/>
  <c r="D249" i="5"/>
  <c r="D253" i="5"/>
  <c r="D257" i="5"/>
  <c r="D261" i="5"/>
  <c r="C261" i="5" s="1"/>
  <c r="D265" i="5"/>
  <c r="C265" i="5" s="1"/>
  <c r="D269" i="5"/>
  <c r="C269" i="5" s="1"/>
  <c r="D273" i="5"/>
  <c r="C273" i="5" s="1"/>
  <c r="D277" i="5"/>
  <c r="D281" i="5"/>
  <c r="D285" i="5"/>
  <c r="C285" i="5" s="1"/>
  <c r="D289" i="5"/>
  <c r="D293" i="5"/>
  <c r="D297" i="5"/>
  <c r="C297" i="5" s="1"/>
  <c r="D301" i="5"/>
  <c r="D305" i="5"/>
  <c r="D309" i="5"/>
  <c r="D313" i="5"/>
  <c r="C313" i="5" s="1"/>
  <c r="D317" i="5"/>
  <c r="D321" i="5"/>
  <c r="D325" i="5"/>
  <c r="C325" i="5" s="1"/>
  <c r="D329" i="5"/>
  <c r="D333" i="5"/>
  <c r="C333" i="5" s="1"/>
  <c r="D38" i="5"/>
  <c r="D42" i="5"/>
  <c r="D46" i="5"/>
  <c r="C46" i="5" s="1"/>
  <c r="D50" i="5"/>
  <c r="C50" i="5" s="1"/>
  <c r="D54" i="5"/>
  <c r="D58" i="5"/>
  <c r="C58" i="5" s="1"/>
  <c r="D62" i="5"/>
  <c r="D66" i="5"/>
  <c r="C66" i="5" s="1"/>
  <c r="D70" i="5"/>
  <c r="D74" i="5"/>
  <c r="D76" i="5"/>
  <c r="D84" i="5"/>
  <c r="C84" i="5" s="1"/>
  <c r="D92" i="5"/>
  <c r="D100" i="5"/>
  <c r="C100" i="5" s="1"/>
  <c r="D108" i="5"/>
  <c r="C108" i="5" s="1"/>
  <c r="D116" i="5"/>
  <c r="C116" i="5" s="1"/>
  <c r="D124" i="5"/>
  <c r="D132" i="5"/>
  <c r="C132" i="5" s="1"/>
  <c r="D140" i="5"/>
  <c r="D148" i="5"/>
  <c r="C148" i="5" s="1"/>
  <c r="D156" i="5"/>
  <c r="D164" i="5"/>
  <c r="C164" i="5" s="1"/>
  <c r="D172" i="5"/>
  <c r="C172" i="5" s="1"/>
  <c r="D180" i="5"/>
  <c r="C180" i="5" s="1"/>
  <c r="D188" i="5"/>
  <c r="D196" i="5"/>
  <c r="C196" i="5" s="1"/>
  <c r="D204" i="5"/>
  <c r="D212" i="5"/>
  <c r="C212" i="5" s="1"/>
  <c r="D220" i="5"/>
  <c r="D228" i="5"/>
  <c r="C228" i="5" s="1"/>
  <c r="D236" i="5"/>
  <c r="C236" i="5" s="1"/>
  <c r="D244" i="5"/>
  <c r="C244" i="5" s="1"/>
  <c r="D252" i="5"/>
  <c r="D260" i="5"/>
  <c r="C260" i="5" s="1"/>
  <c r="D268" i="5"/>
  <c r="D276" i="5"/>
  <c r="C276" i="5" s="1"/>
  <c r="D284" i="5"/>
  <c r="D292" i="5"/>
  <c r="C292" i="5" s="1"/>
  <c r="D300" i="5"/>
  <c r="C300" i="5" s="1"/>
  <c r="D308" i="5"/>
  <c r="C308" i="5" s="1"/>
  <c r="D316" i="5"/>
  <c r="D324" i="5"/>
  <c r="C324" i="5" s="1"/>
  <c r="D332" i="5"/>
  <c r="D312" i="5"/>
  <c r="C312" i="5" s="1"/>
  <c r="D328" i="5"/>
  <c r="D82" i="5"/>
  <c r="D186" i="5"/>
  <c r="C186" i="5" s="1"/>
  <c r="D210" i="5"/>
  <c r="C210" i="5" s="1"/>
  <c r="D218" i="5"/>
  <c r="C218" i="5" s="1"/>
  <c r="D242" i="5"/>
  <c r="D258" i="5"/>
  <c r="D282" i="5"/>
  <c r="C282" i="5" s="1"/>
  <c r="D298" i="5"/>
  <c r="D306" i="5"/>
  <c r="D330" i="5"/>
  <c r="C330" i="5" s="1"/>
  <c r="D78" i="5"/>
  <c r="C78" i="5" s="1"/>
  <c r="D86" i="5"/>
  <c r="D94" i="5"/>
  <c r="C94" i="5" s="1"/>
  <c r="D102" i="5"/>
  <c r="D110" i="5"/>
  <c r="D118" i="5"/>
  <c r="D126" i="5"/>
  <c r="C126" i="5" s="1"/>
  <c r="D134" i="5"/>
  <c r="D142" i="5"/>
  <c r="C142" i="5" s="1"/>
  <c r="D150" i="5"/>
  <c r="D158" i="5"/>
  <c r="C158" i="5" s="1"/>
  <c r="D166" i="5"/>
  <c r="D174" i="5"/>
  <c r="C174" i="5" s="1"/>
  <c r="D182" i="5"/>
  <c r="D190" i="5"/>
  <c r="C190" i="5" s="1"/>
  <c r="D198" i="5"/>
  <c r="D206" i="5"/>
  <c r="D214" i="5"/>
  <c r="D222" i="5"/>
  <c r="D230" i="5"/>
  <c r="D238" i="5"/>
  <c r="C238" i="5" s="1"/>
  <c r="D246" i="5"/>
  <c r="D254" i="5"/>
  <c r="C254" i="5" s="1"/>
  <c r="D262" i="5"/>
  <c r="D270" i="5"/>
  <c r="C270" i="5" s="1"/>
  <c r="D278" i="5"/>
  <c r="D286" i="5"/>
  <c r="D294" i="5"/>
  <c r="D302" i="5"/>
  <c r="C302" i="5" s="1"/>
  <c r="D310" i="5"/>
  <c r="D318" i="5"/>
  <c r="C318" i="5" s="1"/>
  <c r="D326" i="5"/>
  <c r="D106" i="5"/>
  <c r="C106" i="5" s="1"/>
  <c r="D170" i="5"/>
  <c r="D202" i="5"/>
  <c r="D234" i="5"/>
  <c r="D250" i="5"/>
  <c r="C250" i="5" s="1"/>
  <c r="D274" i="5"/>
  <c r="D290" i="5"/>
  <c r="C290" i="5" s="1"/>
  <c r="D314" i="5"/>
  <c r="D80" i="5"/>
  <c r="D88" i="5"/>
  <c r="D96" i="5"/>
  <c r="D104" i="5"/>
  <c r="D112" i="5"/>
  <c r="C112" i="5" s="1"/>
  <c r="D120" i="5"/>
  <c r="D128" i="5"/>
  <c r="C128" i="5" s="1"/>
  <c r="D136" i="5"/>
  <c r="C136" i="5" s="1"/>
  <c r="D144" i="5"/>
  <c r="D152" i="5"/>
  <c r="D160" i="5"/>
  <c r="D168" i="5"/>
  <c r="D176" i="5"/>
  <c r="C176" i="5" s="1"/>
  <c r="D184" i="5"/>
  <c r="D192" i="5"/>
  <c r="C192" i="5" s="1"/>
  <c r="D200" i="5"/>
  <c r="C200" i="5" s="1"/>
  <c r="D208" i="5"/>
  <c r="D216" i="5"/>
  <c r="D224" i="5"/>
  <c r="D232" i="5"/>
  <c r="D240" i="5"/>
  <c r="C240" i="5" s="1"/>
  <c r="D248" i="5"/>
  <c r="D256" i="5"/>
  <c r="C256" i="5" s="1"/>
  <c r="D264" i="5"/>
  <c r="C264" i="5" s="1"/>
  <c r="D272" i="5"/>
  <c r="D280" i="5"/>
  <c r="D288" i="5"/>
  <c r="D296" i="5"/>
  <c r="D304" i="5"/>
  <c r="C304" i="5" s="1"/>
  <c r="D320" i="5"/>
  <c r="D90" i="5"/>
  <c r="D98" i="5"/>
  <c r="D114" i="5"/>
  <c r="C114" i="5" s="1"/>
  <c r="D122" i="5"/>
  <c r="D130" i="5"/>
  <c r="C130" i="5" s="1"/>
  <c r="D138" i="5"/>
  <c r="D146" i="5"/>
  <c r="C146" i="5" s="1"/>
  <c r="D154" i="5"/>
  <c r="D162" i="5"/>
  <c r="C162" i="5" s="1"/>
  <c r="D178" i="5"/>
  <c r="D194" i="5"/>
  <c r="C194" i="5" s="1"/>
  <c r="D226" i="5"/>
  <c r="D266" i="5"/>
  <c r="D322" i="5"/>
  <c r="C37" i="5"/>
  <c r="C53" i="5"/>
  <c r="C57" i="5"/>
  <c r="C69" i="5"/>
  <c r="C39" i="5"/>
  <c r="C55" i="5"/>
  <c r="C60" i="5"/>
  <c r="C71" i="5"/>
  <c r="C76" i="5"/>
  <c r="C80" i="5"/>
  <c r="C88" i="5"/>
  <c r="C92" i="5"/>
  <c r="C96" i="5"/>
  <c r="C104" i="5"/>
  <c r="C120" i="5"/>
  <c r="C124" i="5"/>
  <c r="C140" i="5"/>
  <c r="C144" i="5"/>
  <c r="C152" i="5"/>
  <c r="C156" i="5"/>
  <c r="C160" i="5"/>
  <c r="C168" i="5"/>
  <c r="C184" i="5"/>
  <c r="C188" i="5"/>
  <c r="C204" i="5"/>
  <c r="C208" i="5"/>
  <c r="C216" i="5"/>
  <c r="C220" i="5"/>
  <c r="C224" i="5"/>
  <c r="C232" i="5"/>
  <c r="C248" i="5"/>
  <c r="C252" i="5"/>
  <c r="C268" i="5"/>
  <c r="C272" i="5"/>
  <c r="C280" i="5"/>
  <c r="C284" i="5"/>
  <c r="C288" i="5"/>
  <c r="C296" i="5"/>
  <c r="C316" i="5"/>
  <c r="C320" i="5"/>
  <c r="C328" i="5"/>
  <c r="C332" i="5"/>
  <c r="C35" i="5"/>
  <c r="C51" i="5"/>
  <c r="C56" i="5"/>
  <c r="C62" i="5"/>
  <c r="C67" i="5"/>
  <c r="C72" i="5"/>
  <c r="C85" i="5"/>
  <c r="C101" i="5"/>
  <c r="C105" i="5"/>
  <c r="C117" i="5"/>
  <c r="C121" i="5"/>
  <c r="C125" i="5"/>
  <c r="C133" i="5"/>
  <c r="C149" i="5"/>
  <c r="C165" i="5"/>
  <c r="C169" i="5"/>
  <c r="C181" i="5"/>
  <c r="C42" i="5"/>
  <c r="C52" i="5"/>
  <c r="C74" i="5"/>
  <c r="C82" i="5"/>
  <c r="C90" i="5"/>
  <c r="C98" i="5"/>
  <c r="C122" i="5"/>
  <c r="C138" i="5"/>
  <c r="C154" i="5"/>
  <c r="C170" i="5"/>
  <c r="C178" i="5"/>
  <c r="C195" i="5"/>
  <c r="C201" i="5"/>
  <c r="C206" i="5"/>
  <c r="C222" i="5"/>
  <c r="C227" i="5"/>
  <c r="C233" i="5"/>
  <c r="C243" i="5"/>
  <c r="C249" i="5"/>
  <c r="C259" i="5"/>
  <c r="C281" i="5"/>
  <c r="C286" i="5"/>
  <c r="C291" i="5"/>
  <c r="C307" i="5"/>
  <c r="C323" i="5"/>
  <c r="C329" i="5"/>
  <c r="D34" i="5"/>
  <c r="C242" i="5"/>
  <c r="C322" i="5"/>
  <c r="C54" i="5"/>
  <c r="C64" i="5"/>
  <c r="C75" i="5"/>
  <c r="C83" i="5"/>
  <c r="C91" i="5"/>
  <c r="C99" i="5"/>
  <c r="C107" i="5"/>
  <c r="C115" i="5"/>
  <c r="C123" i="5"/>
  <c r="C131" i="5"/>
  <c r="C139" i="5"/>
  <c r="C147" i="5"/>
  <c r="C155" i="5"/>
  <c r="C163" i="5"/>
  <c r="C171" i="5"/>
  <c r="C179" i="5"/>
  <c r="C202" i="5"/>
  <c r="C207" i="5"/>
  <c r="C213" i="5"/>
  <c r="C229" i="5"/>
  <c r="C234" i="5"/>
  <c r="C245" i="5"/>
  <c r="C266" i="5"/>
  <c r="C277" i="5"/>
  <c r="C293" i="5"/>
  <c r="C298" i="5"/>
  <c r="C309" i="5"/>
  <c r="C314" i="5"/>
  <c r="C319" i="5"/>
  <c r="C38" i="5"/>
  <c r="C59" i="5"/>
  <c r="C103" i="5"/>
  <c r="C119" i="5"/>
  <c r="C135" i="5"/>
  <c r="C167" i="5"/>
  <c r="C183" i="5"/>
  <c r="C231" i="5"/>
  <c r="C247" i="5"/>
  <c r="C258" i="5"/>
  <c r="C279" i="5"/>
  <c r="C301" i="5"/>
  <c r="C327" i="5"/>
  <c r="C68" i="5"/>
  <c r="C86" i="5"/>
  <c r="C102" i="5"/>
  <c r="C110" i="5"/>
  <c r="C118" i="5"/>
  <c r="C134" i="5"/>
  <c r="C150" i="5"/>
  <c r="C166" i="5"/>
  <c r="C182" i="5"/>
  <c r="C187" i="5"/>
  <c r="C193" i="5"/>
  <c r="C198" i="5"/>
  <c r="C203" i="5"/>
  <c r="C214" i="5"/>
  <c r="C219" i="5"/>
  <c r="C225" i="5"/>
  <c r="C230" i="5"/>
  <c r="C235" i="5"/>
  <c r="C241" i="5"/>
  <c r="C246" i="5"/>
  <c r="C251" i="5"/>
  <c r="C257" i="5"/>
  <c r="C262" i="5"/>
  <c r="C267" i="5"/>
  <c r="C278" i="5"/>
  <c r="C283" i="5"/>
  <c r="C289" i="5"/>
  <c r="C294" i="5"/>
  <c r="C299" i="5"/>
  <c r="C305" i="5"/>
  <c r="C310" i="5"/>
  <c r="C315" i="5"/>
  <c r="C321" i="5"/>
  <c r="C326" i="5"/>
  <c r="C331" i="5"/>
  <c r="C48" i="5"/>
  <c r="C70" i="5"/>
  <c r="C95" i="5"/>
  <c r="C175" i="5"/>
  <c r="C199" i="5"/>
  <c r="C215" i="5"/>
  <c r="C226" i="5"/>
  <c r="C253" i="5"/>
  <c r="C263" i="5"/>
  <c r="C274" i="5"/>
  <c r="C306" i="5"/>
  <c r="C317" i="5"/>
  <c r="G7" i="5"/>
  <c r="J10" i="5"/>
  <c r="J19" i="5" s="1"/>
  <c r="H6" i="5"/>
  <c r="H7" i="5"/>
  <c r="H5" i="5"/>
  <c r="I4" i="5"/>
  <c r="I10" i="5"/>
  <c r="I19" i="5" s="1"/>
  <c r="G10" i="5"/>
  <c r="G19" i="5" s="1"/>
  <c r="H10" i="5"/>
  <c r="G5" i="5"/>
  <c r="G6" i="5"/>
  <c r="G25" i="3"/>
  <c r="H25" i="3"/>
  <c r="B5" i="3" s="1"/>
  <c r="B34" i="5" l="1"/>
  <c r="C34" i="5"/>
  <c r="H12" i="5"/>
  <c r="H13" i="5" s="1"/>
  <c r="H18" i="5" s="1"/>
  <c r="B312" i="5"/>
  <c r="B316" i="5"/>
  <c r="B177" i="5"/>
  <c r="B161" i="5"/>
  <c r="B222" i="5"/>
  <c r="B290" i="5"/>
  <c r="B189" i="5"/>
  <c r="B257" i="5"/>
  <c r="B319" i="5"/>
  <c r="B271" i="5"/>
  <c r="B194" i="5"/>
  <c r="B227" i="5"/>
  <c r="B147" i="5"/>
  <c r="B126" i="5"/>
  <c r="B304" i="5"/>
  <c r="B252" i="5"/>
  <c r="B333" i="5"/>
  <c r="B65" i="5"/>
  <c r="B308" i="5"/>
  <c r="B244" i="5"/>
  <c r="B139" i="5"/>
  <c r="B272" i="5"/>
  <c r="B296" i="5"/>
  <c r="B232" i="5"/>
  <c r="B129" i="5"/>
  <c r="B281" i="5"/>
  <c r="B261" i="5"/>
  <c r="B198" i="5"/>
  <c r="B85" i="5"/>
  <c r="B318" i="5"/>
  <c r="B302" i="5"/>
  <c r="B286" i="5"/>
  <c r="B270" i="5"/>
  <c r="B254" i="5"/>
  <c r="B238" i="5"/>
  <c r="B213" i="5"/>
  <c r="B181" i="5"/>
  <c r="B149" i="5"/>
  <c r="B301" i="5"/>
  <c r="B253" i="5"/>
  <c r="B229" i="5"/>
  <c r="B182" i="5"/>
  <c r="B331" i="5"/>
  <c r="B315" i="5"/>
  <c r="B299" i="5"/>
  <c r="B283" i="5"/>
  <c r="B267" i="5"/>
  <c r="B251" i="5"/>
  <c r="B235" i="5"/>
  <c r="B218" i="5"/>
  <c r="B186" i="5"/>
  <c r="B154" i="5"/>
  <c r="B101" i="5"/>
  <c r="B223" i="5"/>
  <c r="B207" i="5"/>
  <c r="B191" i="5"/>
  <c r="B175" i="5"/>
  <c r="B159" i="5"/>
  <c r="B143" i="5"/>
  <c r="B89" i="5"/>
  <c r="B224" i="5"/>
  <c r="B208" i="5"/>
  <c r="B192" i="5"/>
  <c r="B176" i="5"/>
  <c r="B160" i="5"/>
  <c r="B145" i="5"/>
  <c r="B77" i="5"/>
  <c r="B138" i="5"/>
  <c r="B122" i="5"/>
  <c r="B106" i="5"/>
  <c r="B90" i="5"/>
  <c r="B74" i="5"/>
  <c r="B58" i="5"/>
  <c r="B42" i="5"/>
  <c r="B131" i="5"/>
  <c r="B115" i="5"/>
  <c r="B99" i="5"/>
  <c r="B83" i="5"/>
  <c r="B67" i="5"/>
  <c r="B51" i="5"/>
  <c r="B35" i="5"/>
  <c r="B132" i="5"/>
  <c r="B116" i="5"/>
  <c r="B100" i="5"/>
  <c r="B84" i="5"/>
  <c r="B68" i="5"/>
  <c r="B52" i="5"/>
  <c r="B36" i="5"/>
  <c r="B328" i="5"/>
  <c r="B300" i="5"/>
  <c r="B236" i="5"/>
  <c r="B325" i="5"/>
  <c r="B332" i="5"/>
  <c r="B292" i="5"/>
  <c r="B217" i="5"/>
  <c r="B97" i="5"/>
  <c r="B256" i="5"/>
  <c r="B321" i="5"/>
  <c r="B280" i="5"/>
  <c r="B225" i="5"/>
  <c r="B293" i="5"/>
  <c r="B277" i="5"/>
  <c r="B241" i="5"/>
  <c r="B166" i="5"/>
  <c r="B330" i="5"/>
  <c r="B314" i="5"/>
  <c r="B298" i="5"/>
  <c r="B282" i="5"/>
  <c r="B266" i="5"/>
  <c r="B250" i="5"/>
  <c r="B234" i="5"/>
  <c r="B205" i="5"/>
  <c r="B173" i="5"/>
  <c r="B113" i="5"/>
  <c r="B297" i="5"/>
  <c r="B249" i="5"/>
  <c r="B214" i="5"/>
  <c r="B174" i="5"/>
  <c r="B327" i="5"/>
  <c r="B311" i="5"/>
  <c r="B295" i="5"/>
  <c r="B279" i="5"/>
  <c r="B263" i="5"/>
  <c r="B247" i="5"/>
  <c r="B231" i="5"/>
  <c r="B210" i="5"/>
  <c r="B178" i="5"/>
  <c r="B146" i="5"/>
  <c r="B69" i="5"/>
  <c r="B219" i="5"/>
  <c r="B203" i="5"/>
  <c r="B187" i="5"/>
  <c r="B171" i="5"/>
  <c r="B155" i="5"/>
  <c r="B137" i="5"/>
  <c r="B73" i="5"/>
  <c r="B220" i="5"/>
  <c r="B204" i="5"/>
  <c r="B188" i="5"/>
  <c r="B172" i="5"/>
  <c r="B156" i="5"/>
  <c r="B125" i="5"/>
  <c r="B61" i="5"/>
  <c r="B134" i="5"/>
  <c r="B118" i="5"/>
  <c r="B102" i="5"/>
  <c r="B86" i="5"/>
  <c r="B70" i="5"/>
  <c r="B54" i="5"/>
  <c r="B38" i="5"/>
  <c r="B127" i="5"/>
  <c r="B111" i="5"/>
  <c r="B95" i="5"/>
  <c r="B79" i="5"/>
  <c r="B63" i="5"/>
  <c r="B47" i="5"/>
  <c r="B144" i="5"/>
  <c r="B128" i="5"/>
  <c r="B112" i="5"/>
  <c r="B96" i="5"/>
  <c r="B80" i="5"/>
  <c r="B64" i="5"/>
  <c r="B48" i="5"/>
  <c r="B320" i="5"/>
  <c r="B284" i="5"/>
  <c r="B201" i="5"/>
  <c r="B309" i="5"/>
  <c r="B324" i="5"/>
  <c r="B276" i="5"/>
  <c r="B185" i="5"/>
  <c r="B317" i="5"/>
  <c r="B240" i="5"/>
  <c r="B313" i="5"/>
  <c r="B264" i="5"/>
  <c r="B193" i="5"/>
  <c r="B289" i="5"/>
  <c r="B273" i="5"/>
  <c r="B233" i="5"/>
  <c r="B158" i="5"/>
  <c r="B326" i="5"/>
  <c r="B310" i="5"/>
  <c r="B294" i="5"/>
  <c r="B278" i="5"/>
  <c r="B262" i="5"/>
  <c r="B246" i="5"/>
  <c r="B230" i="5"/>
  <c r="B197" i="5"/>
  <c r="B165" i="5"/>
  <c r="B81" i="5"/>
  <c r="B265" i="5"/>
  <c r="B245" i="5"/>
  <c r="B206" i="5"/>
  <c r="B117" i="5"/>
  <c r="B323" i="5"/>
  <c r="B307" i="5"/>
  <c r="B291" i="5"/>
  <c r="B275" i="5"/>
  <c r="B259" i="5"/>
  <c r="B243" i="5"/>
  <c r="B228" i="5"/>
  <c r="B202" i="5"/>
  <c r="B170" i="5"/>
  <c r="B141" i="5"/>
  <c r="B37" i="5"/>
  <c r="B215" i="5"/>
  <c r="B199" i="5"/>
  <c r="B183" i="5"/>
  <c r="B167" i="5"/>
  <c r="B151" i="5"/>
  <c r="B121" i="5"/>
  <c r="B57" i="5"/>
  <c r="B216" i="5"/>
  <c r="B200" i="5"/>
  <c r="B184" i="5"/>
  <c r="B168" i="5"/>
  <c r="B152" i="5"/>
  <c r="B109" i="5"/>
  <c r="B45" i="5"/>
  <c r="B130" i="5"/>
  <c r="B114" i="5"/>
  <c r="B98" i="5"/>
  <c r="B82" i="5"/>
  <c r="B66" i="5"/>
  <c r="B50" i="5"/>
  <c r="B123" i="5"/>
  <c r="B107" i="5"/>
  <c r="B91" i="5"/>
  <c r="B75" i="5"/>
  <c r="B59" i="5"/>
  <c r="B43" i="5"/>
  <c r="B140" i="5"/>
  <c r="B124" i="5"/>
  <c r="B108" i="5"/>
  <c r="B92" i="5"/>
  <c r="B76" i="5"/>
  <c r="B60" i="5"/>
  <c r="B44" i="5"/>
  <c r="B169" i="5"/>
  <c r="B260" i="5"/>
  <c r="B288" i="5"/>
  <c r="B248" i="5"/>
  <c r="B150" i="5"/>
  <c r="B322" i="5"/>
  <c r="B274" i="5"/>
  <c r="B242" i="5"/>
  <c r="B157" i="5"/>
  <c r="B237" i="5"/>
  <c r="B53" i="5"/>
  <c r="B287" i="5"/>
  <c r="B239" i="5"/>
  <c r="B133" i="5"/>
  <c r="B195" i="5"/>
  <c r="B179" i="5"/>
  <c r="B105" i="5"/>
  <c r="B41" i="5"/>
  <c r="B212" i="5"/>
  <c r="B180" i="5"/>
  <c r="B164" i="5"/>
  <c r="B148" i="5"/>
  <c r="B93" i="5"/>
  <c r="B142" i="5"/>
  <c r="B110" i="5"/>
  <c r="B94" i="5"/>
  <c r="B78" i="5"/>
  <c r="B62" i="5"/>
  <c r="B46" i="5"/>
  <c r="B135" i="5"/>
  <c r="B119" i="5"/>
  <c r="B103" i="5"/>
  <c r="B87" i="5"/>
  <c r="B71" i="5"/>
  <c r="B55" i="5"/>
  <c r="B39" i="5"/>
  <c r="B136" i="5"/>
  <c r="B120" i="5"/>
  <c r="B104" i="5"/>
  <c r="B88" i="5"/>
  <c r="B72" i="5"/>
  <c r="B56" i="5"/>
  <c r="B40" i="5"/>
  <c r="B268" i="5"/>
  <c r="B209" i="5"/>
  <c r="B153" i="5"/>
  <c r="B305" i="5"/>
  <c r="B285" i="5"/>
  <c r="B269" i="5"/>
  <c r="B306" i="5"/>
  <c r="B258" i="5"/>
  <c r="B221" i="5"/>
  <c r="B49" i="5"/>
  <c r="B190" i="5"/>
  <c r="B303" i="5"/>
  <c r="B255" i="5"/>
  <c r="B226" i="5"/>
  <c r="B162" i="5"/>
  <c r="B211" i="5"/>
  <c r="B163" i="5"/>
  <c r="B196" i="5"/>
  <c r="B329" i="5"/>
  <c r="H19" i="5"/>
  <c r="I6" i="5"/>
  <c r="I7" i="5"/>
  <c r="I5" i="5"/>
  <c r="J4" i="5"/>
  <c r="G12" i="5"/>
  <c r="G13" i="5" s="1"/>
  <c r="G18" i="5" s="1"/>
  <c r="G20" i="5" s="1"/>
  <c r="G26" i="5" s="1"/>
  <c r="G28" i="5" s="1"/>
  <c r="N5" i="5" l="1"/>
  <c r="H20" i="5"/>
  <c r="H26" i="5" s="1"/>
  <c r="H28" i="5" s="1"/>
  <c r="N15" i="5"/>
  <c r="N14" i="5"/>
  <c r="I12" i="5"/>
  <c r="I13" i="5" s="1"/>
  <c r="I18" i="5" s="1"/>
  <c r="I20" i="5" s="1"/>
  <c r="I26" i="5" s="1"/>
  <c r="I28" i="5" s="1"/>
  <c r="N8" i="5"/>
  <c r="N6" i="5"/>
  <c r="N7" i="5"/>
  <c r="N16" i="5"/>
  <c r="N17" i="5"/>
  <c r="J5" i="5"/>
  <c r="J6" i="5"/>
  <c r="J7" i="5"/>
  <c r="K4" i="5"/>
  <c r="Q17" i="5" l="1"/>
  <c r="Q13" i="5"/>
  <c r="Q16" i="5"/>
  <c r="Q8" i="5"/>
  <c r="Q4" i="5"/>
  <c r="Q5" i="5"/>
  <c r="Q7" i="5"/>
  <c r="Q6" i="5"/>
  <c r="Q15" i="5"/>
  <c r="Q14" i="5"/>
  <c r="J12" i="5"/>
  <c r="J13" i="5" s="1"/>
  <c r="J18" i="5" s="1"/>
  <c r="J20" i="5" s="1"/>
  <c r="J26" i="5" s="1"/>
  <c r="J28" i="5" s="1"/>
  <c r="K7" i="5"/>
  <c r="K5" i="5"/>
  <c r="K6" i="5"/>
  <c r="K12" i="5" l="1"/>
  <c r="K13" i="5" s="1"/>
  <c r="K18" i="5" s="1"/>
  <c r="K20" i="5" s="1"/>
  <c r="K26" i="5" s="1"/>
  <c r="K28" i="5" s="1"/>
  <c r="U5" i="5" s="1"/>
  <c r="U4" i="5" l="1"/>
</calcChain>
</file>

<file path=xl/sharedStrings.xml><?xml version="1.0" encoding="utf-8"?>
<sst xmlns="http://schemas.openxmlformats.org/spreadsheetml/2006/main" count="133" uniqueCount="110">
  <si>
    <t>Frequency</t>
  </si>
  <si>
    <t>NPV</t>
  </si>
  <si>
    <t>BINS</t>
  </si>
  <si>
    <t xml:space="preserve">Std. Dev. = </t>
  </si>
  <si>
    <r>
      <t>CF</t>
    </r>
    <r>
      <rPr>
        <vertAlign val="subscript"/>
        <sz val="10"/>
        <rFont val="Arial"/>
        <family val="2"/>
      </rPr>
      <t>4</t>
    </r>
    <r>
      <rPr>
        <sz val="11"/>
        <color theme="1"/>
        <rFont val="Calibri"/>
        <family val="2"/>
        <scheme val="minor"/>
      </rPr>
      <t/>
    </r>
  </si>
  <si>
    <r>
      <t>CF</t>
    </r>
    <r>
      <rPr>
        <vertAlign val="subscript"/>
        <sz val="10"/>
        <rFont val="Arial"/>
        <family val="2"/>
      </rPr>
      <t>3</t>
    </r>
    <r>
      <rPr>
        <sz val="11"/>
        <color theme="1"/>
        <rFont val="Calibri"/>
        <family val="2"/>
        <scheme val="minor"/>
      </rPr>
      <t/>
    </r>
  </si>
  <si>
    <r>
      <t>CF</t>
    </r>
    <r>
      <rPr>
        <vertAlign val="subscript"/>
        <sz val="10"/>
        <rFont val="Arial"/>
        <family val="2"/>
      </rPr>
      <t>2</t>
    </r>
    <r>
      <rPr>
        <sz val="11"/>
        <color theme="1"/>
        <rFont val="Calibri"/>
        <family val="2"/>
        <scheme val="minor"/>
      </rPr>
      <t/>
    </r>
  </si>
  <si>
    <r>
      <t>CF</t>
    </r>
    <r>
      <rPr>
        <vertAlign val="subscript"/>
        <sz val="10"/>
        <rFont val="Arial"/>
        <family val="2"/>
      </rPr>
      <t>1</t>
    </r>
  </si>
  <si>
    <t>Probability NPV is greater than</t>
  </si>
  <si>
    <t xml:space="preserve">Minimum NPV = </t>
  </si>
  <si>
    <t xml:space="preserve">Maximum NPV = </t>
  </si>
  <si>
    <t xml:space="preserve">Mean NPV = </t>
  </si>
  <si>
    <t>Probability NPV is less than</t>
  </si>
  <si>
    <t xml:space="preserve">No. of Simulations = </t>
  </si>
  <si>
    <t>Probability</t>
  </si>
  <si>
    <t>x Value</t>
  </si>
  <si>
    <t>Sensitivity Analysis</t>
  </si>
  <si>
    <t>Simulation Results</t>
  </si>
  <si>
    <t>Total</t>
  </si>
  <si>
    <t>2 point reduction for each of the following: 1) if file is named incorrectly, 2) the cells have been moved or work (other than a comment) is shown outside of the specified cells in the model, 3) base case numbers not used</t>
  </si>
  <si>
    <t>Explanations</t>
  </si>
  <si>
    <t>Visual Basic (one macro linked to a button does everything explained in step 7)</t>
  </si>
  <si>
    <t>Correct use of the Data Analysis tools</t>
  </si>
  <si>
    <t>Correct equations/functions used</t>
  </si>
  <si>
    <t>Comments</t>
  </si>
  <si>
    <t>Your Points</t>
  </si>
  <si>
    <t>Total Points</t>
  </si>
  <si>
    <t>Rubric</t>
  </si>
  <si>
    <t>should be used to determine values</t>
  </si>
  <si>
    <r>
      <t xml:space="preserve">rose shading indicates the </t>
    </r>
    <r>
      <rPr>
        <b/>
        <sz val="12"/>
        <color indexed="10"/>
        <rFont val="Arial"/>
        <family val="2"/>
      </rPr>
      <t>random number generator</t>
    </r>
    <r>
      <rPr>
        <sz val="12"/>
        <rFont val="Arial"/>
        <family val="2"/>
      </rPr>
      <t xml:space="preserve"> </t>
    </r>
  </si>
  <si>
    <t>(perhaps with user written components)</t>
  </si>
  <si>
    <t>should contain Excel functions</t>
  </si>
  <si>
    <t>pale blue shading indicates cells that</t>
  </si>
  <si>
    <t>should hold user written formulas</t>
  </si>
  <si>
    <t>light yellow shading indicates cells that</t>
  </si>
  <si>
    <t>Worksheet Key</t>
  </si>
  <si>
    <t>Comments:</t>
  </si>
  <si>
    <t>Grade:</t>
  </si>
  <si>
    <t>Name:</t>
  </si>
  <si>
    <t>Salvage Value</t>
  </si>
  <si>
    <t>Change in NOWC</t>
  </si>
  <si>
    <t>Synergy</t>
  </si>
  <si>
    <t>Operating Cash Flow</t>
  </si>
  <si>
    <t>Incremental Cash Flow</t>
  </si>
  <si>
    <t>NI</t>
  </si>
  <si>
    <t>Other</t>
  </si>
  <si>
    <t>EBIT</t>
  </si>
  <si>
    <t>Fixed cost</t>
  </si>
  <si>
    <t>Canabilization</t>
  </si>
  <si>
    <t>Production cost</t>
  </si>
  <si>
    <t>Sales</t>
  </si>
  <si>
    <t>Inputs</t>
  </si>
  <si>
    <t>Year</t>
  </si>
  <si>
    <t>Income Statement</t>
  </si>
  <si>
    <t>IRR</t>
  </si>
  <si>
    <t>NPV Simulation</t>
  </si>
  <si>
    <t>SG&amp;A</t>
  </si>
  <si>
    <t>Formatting including graph labels</t>
  </si>
  <si>
    <t>Project #3 - Capital Budgeting Monte Carlo Analysis</t>
  </si>
  <si>
    <t xml:space="preserve">Depreciation </t>
  </si>
  <si>
    <t>Name</t>
  </si>
  <si>
    <t>Value</t>
  </si>
  <si>
    <t>Actual Results</t>
  </si>
  <si>
    <t xml:space="preserve">Name </t>
  </si>
  <si>
    <t>NPV=</t>
  </si>
  <si>
    <t>IRR=</t>
  </si>
  <si>
    <t>Probability IRR is less than</t>
  </si>
  <si>
    <t>Probability IRR is greater than</t>
  </si>
  <si>
    <t>green shading indicates data for frequency table (histogram table)</t>
  </si>
  <si>
    <t>OR functions (users preference for this project)</t>
  </si>
  <si>
    <t>CF0</t>
  </si>
  <si>
    <r>
      <t>CF</t>
    </r>
    <r>
      <rPr>
        <vertAlign val="subscript"/>
        <sz val="10"/>
        <rFont val="Arial"/>
        <family val="2"/>
      </rPr>
      <t>5</t>
    </r>
    <r>
      <rPr>
        <sz val="11"/>
        <color theme="1"/>
        <rFont val="Calibri"/>
        <family val="2"/>
        <scheme val="minor"/>
      </rPr>
      <t/>
    </r>
  </si>
  <si>
    <t>Count</t>
  </si>
  <si>
    <t>Part 8 Question</t>
  </si>
  <si>
    <t>aqua shading indicates a direct link to another cell</t>
  </si>
  <si>
    <t>Initial Investment</t>
  </si>
  <si>
    <t>Part 9 Question</t>
  </si>
  <si>
    <t>light gray shading indicates cells that should contain user input data</t>
  </si>
  <si>
    <t>marketing</t>
  </si>
  <si>
    <t>utilities</t>
  </si>
  <si>
    <t>units</t>
  </si>
  <si>
    <t>price/unit</t>
  </si>
  <si>
    <t>sales growth rate</t>
  </si>
  <si>
    <t>fixed cost</t>
  </si>
  <si>
    <t>production cost</t>
  </si>
  <si>
    <t>SGA</t>
  </si>
  <si>
    <t>cost of capital</t>
  </si>
  <si>
    <t>initial cost</t>
  </si>
  <si>
    <t>salvage value</t>
  </si>
  <si>
    <t>Change in NWC</t>
  </si>
  <si>
    <t>depreciation</t>
  </si>
  <si>
    <t>Cannibalization units in year 1</t>
  </si>
  <si>
    <t>Cannibalization % after year 1</t>
  </si>
  <si>
    <t>Old fitness monitor cost/unit</t>
  </si>
  <si>
    <t>Old fitness monitor price/unit</t>
  </si>
  <si>
    <t>Tax</t>
  </si>
  <si>
    <t>% increase from insurance</t>
  </si>
  <si>
    <t>Insurance plan profit/plan</t>
  </si>
  <si>
    <t>mean</t>
  </si>
  <si>
    <t>IRR Simulation</t>
  </si>
  <si>
    <t xml:space="preserve">Maximum IRR = </t>
  </si>
  <si>
    <t xml:space="preserve">Minimum IRR = </t>
  </si>
  <si>
    <t xml:space="preserve">Mean IRR = </t>
  </si>
  <si>
    <t>More</t>
  </si>
  <si>
    <t>useful life(years)</t>
  </si>
  <si>
    <t>Random Cash Flows</t>
  </si>
  <si>
    <t>Based on the results of this simulation, this project should be accepted for two main reasons: the NPV is predicted to be typically greater than 0 and the IRR is projected to be greater that the cost of capital at 8%. After running a simulation of 300 cash flows for each of the first five year (using the incremental cash flow for the mean with a st dev of 150,0000), it became clear that this project has a high chance of success. My rationale for this comes from the fact that out of the 300 different scenarios generated, the NPV was greater than 0 98.19% of the time. Similarly, the IRR was greater than 8% 98.24% of the time. This means that essentially when this scenario was ran 300 times, there was only roughly 5 of those scenarios in which the NPV was less than 0 or the IRR was less than the discount rate. The maximum, minimum, average and standard deviation of the NPV for the scenarios was $1,336,300; -$165,382; $597,162.74, and $273,287, respectively.  The maximum, minimum, average, and standard deviation of the IRRs for the scenarios is 16.38%; 6.93%; 11.73%, and 1.69%, respectively. The histograms for the NPV and IRR show where the majority of the results were concentrated. The most common for IRR was around 12% while NPV was most frequent around $500,000. The concentration of the results indicate that there is a likely chance the outcome will be close to this number because it was the most commonly generated result randomly. For a risk averse investor, this presents a great opportunity thus the company should invest in this project.</t>
  </si>
  <si>
    <t>The firm might choose to not accept this project even after looking through the analysis for several reasons. One possibility is that the firm has limited resources to spend on projects(capex) and there is a better alternative. Another potential scenario in which the firm might choose to not accept this project is time constraints. If a firm needs to generate capital by a certain deadline, it doesnt matter if they are going to receive a net benefit from profit in the future. This is because the firm has to be able to fulfill its current as well as long term obligations. If the timeline of a projects does not align with this, it could be dangerous for the sustainability of that firm.</t>
  </si>
  <si>
    <t>project length(years)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</si>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</sst>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quot;$&quot;#,##0.00"/>
  </numFmts>
  <fonts count="20" x14ac:knownFonts="1">
    <font>
      <sz val="11"/>
      <color theme="1"/>
      <name val="Calibri"/>
      <family val="2"/>
      <scheme val="minor"/>
    </font>
    <font>
      <sz val="11"/>
      <color theme="1"/>
      <name val="Calibri"/>
      <family val="2"/>
      <scheme val="minor"/>
    </font>
    <font>
      <sz val="11"/>
      <color rgb="FFFF0000"/>
      <name val="Calibri"/>
      <family val="2"/>
      <scheme val="minor"/>
    </font>
    <font>
      <sz val="10"/>
      <name val="Arial"/>
      <family val="2"/>
    </font>
    <font>
      <b/>
      <sz val="10"/>
      <name val="Arial"/>
      <family val="2"/>
    </font>
    <font>
      <vertAlign val="subscript"/>
      <sz val="10"/>
      <name val="Arial"/>
      <family val="2"/>
    </font>
    <font>
      <sz val="11"/>
      <name val="Arial"/>
      <family val="2"/>
    </font>
    <font>
      <sz val="12"/>
      <name val="Arial"/>
      <family val="2"/>
    </font>
    <font>
      <b/>
      <sz val="12"/>
      <color indexed="10"/>
      <name val="Arial"/>
      <family val="2"/>
    </font>
    <font>
      <b/>
      <sz val="12"/>
      <name val="Arial"/>
      <family val="2"/>
    </font>
    <font>
      <b/>
      <sz val="10"/>
      <color rgb="FFFF0000"/>
      <name val="Arial"/>
      <family val="2"/>
    </font>
    <font>
      <b/>
      <sz val="12"/>
      <color rgb="FFFF0000"/>
      <name val="Arial"/>
      <family val="2"/>
    </font>
    <font>
      <b/>
      <sz val="12"/>
      <color rgb="FF0000FF"/>
      <name val="Arial"/>
      <family val="2"/>
    </font>
    <font>
      <b/>
      <sz val="10"/>
      <color theme="1" tint="4.9989318521683403E-2"/>
      <name val="Arial"/>
      <family val="2"/>
    </font>
    <font>
      <sz val="8"/>
      <name val="Calibri"/>
      <family val="2"/>
      <scheme val="minor"/>
    </font>
    <font>
      <b/>
      <sz val="10"/>
      <color theme="1"/>
      <name val="Calibri"/>
      <family val="2"/>
      <scheme val="minor"/>
    </font>
    <font>
      <b/>
      <sz val="10"/>
      <color theme="1" tint="4.9989318521683403E-2"/>
      <name val="Calibri"/>
      <family val="2"/>
      <scheme val="minor"/>
    </font>
    <font>
      <sz val="11"/>
      <color theme="0"/>
      <name val="Calibri"/>
      <family val="2"/>
      <scheme val="minor"/>
    </font>
    <font>
      <sz val="20"/>
      <color rgb="FF000000"/>
      <name val="Calibri"/>
      <family val="2"/>
    </font>
    <font>
      <b/>
      <i/>
      <sz val="11"/>
      <color theme="1"/>
      <name val="Calibri"/>
      <family val="2"/>
      <scheme val="minor"/>
    </font>
  </fonts>
  <fills count="21">
    <fill>
      <patternFill patternType="none"/>
    </fill>
    <fill>
      <patternFill patternType="gray125"/>
    </fill>
    <fill>
      <patternFill patternType="solid">
        <fgColor rgb="FFFF66CC"/>
        <bgColor indexed="64"/>
      </patternFill>
    </fill>
    <fill>
      <patternFill patternType="solid">
        <fgColor rgb="FF99CCFF"/>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rgb="FF00B0F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3"/>
        <bgColor indexed="64"/>
      </patternFill>
    </fill>
    <fill>
      <patternFill patternType="solid">
        <fgColor theme="4" tint="-0.249977111117893"/>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theme="2" tint="-0.749992370372631"/>
        <bgColor indexed="64"/>
      </patternFill>
    </fill>
    <fill>
      <patternFill patternType="solid">
        <fgColor theme="7" tint="0.39997558519241921"/>
        <bgColor indexed="64"/>
      </patternFill>
    </fill>
  </fills>
  <borders count="22">
    <border>
      <left/>
      <right/>
      <top/>
      <bottom/>
      <diagonal/>
    </border>
    <border>
      <left/>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double">
        <color indexed="64"/>
      </bottom>
      <diagonal/>
    </border>
  </borders>
  <cellStyleXfs count="8">
    <xf numFmtId="0" fontId="0" fillId="0" borderId="0"/>
    <xf numFmtId="43" fontId="1" fillId="0" borderId="0" applyFont="0" applyFill="0" applyBorder="0" applyAlignment="0" applyProtection="0"/>
    <xf numFmtId="0" fontId="3" fillId="0" borderId="0"/>
    <xf numFmtId="44"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93">
    <xf numFmtId="0" fontId="0" fillId="0" borderId="0" xfId="0"/>
    <xf numFmtId="0" fontId="3" fillId="0" borderId="0" xfId="2"/>
    <xf numFmtId="0" fontId="2" fillId="0" borderId="5" xfId="2" applyFont="1" applyBorder="1"/>
    <xf numFmtId="0" fontId="6" fillId="0" borderId="5" xfId="2" applyFont="1" applyBorder="1"/>
    <xf numFmtId="0" fontId="6" fillId="0" borderId="5" xfId="2" applyFont="1" applyBorder="1" applyAlignment="1">
      <alignment wrapText="1"/>
    </xf>
    <xf numFmtId="0" fontId="2" fillId="0" borderId="5" xfId="2" applyFont="1" applyBorder="1" applyAlignment="1">
      <alignment wrapText="1"/>
    </xf>
    <xf numFmtId="0" fontId="6" fillId="0" borderId="5" xfId="2" applyFont="1" applyBorder="1" applyAlignment="1">
      <alignment horizontal="center"/>
    </xf>
    <xf numFmtId="0" fontId="7" fillId="0" borderId="0" xfId="2" applyFont="1"/>
    <xf numFmtId="0" fontId="3" fillId="4" borderId="5" xfId="2" applyFill="1" applyBorder="1"/>
    <xf numFmtId="0" fontId="7" fillId="2" borderId="5" xfId="2" applyFont="1" applyFill="1" applyBorder="1"/>
    <xf numFmtId="0" fontId="7" fillId="3" borderId="5" xfId="2" applyFont="1" applyFill="1" applyBorder="1"/>
    <xf numFmtId="0" fontId="7" fillId="0" borderId="0" xfId="2" applyFont="1" applyAlignment="1">
      <alignment horizontal="centerContinuous"/>
    </xf>
    <xf numFmtId="0" fontId="9" fillId="0" borderId="0" xfId="2" applyFont="1" applyAlignment="1">
      <alignment horizontal="centerContinuous"/>
    </xf>
    <xf numFmtId="0" fontId="7" fillId="0" borderId="6" xfId="2" applyFont="1" applyBorder="1" applyAlignment="1">
      <alignment horizontal="centerContinuous"/>
    </xf>
    <xf numFmtId="0" fontId="7" fillId="0" borderId="7" xfId="2" applyFont="1" applyBorder="1" applyAlignment="1">
      <alignment horizontal="centerContinuous"/>
    </xf>
    <xf numFmtId="0" fontId="9" fillId="0" borderId="8" xfId="2" applyFont="1" applyBorder="1" applyAlignment="1">
      <alignment horizontal="centerContinuous"/>
    </xf>
    <xf numFmtId="0" fontId="11" fillId="0" borderId="5" xfId="2" applyFont="1" applyBorder="1" applyAlignment="1">
      <alignment horizontal="center"/>
    </xf>
    <xf numFmtId="0" fontId="7" fillId="7" borderId="5" xfId="2" applyFont="1" applyFill="1" applyBorder="1"/>
    <xf numFmtId="0" fontId="0" fillId="0" borderId="0" xfId="0" applyAlignment="1">
      <alignment wrapText="1" shrinkToFit="1"/>
    </xf>
    <xf numFmtId="164" fontId="13" fillId="5" borderId="0" xfId="1" applyNumberFormat="1" applyFont="1" applyFill="1" applyBorder="1"/>
    <xf numFmtId="0" fontId="0" fillId="0" borderId="0" xfId="0" applyAlignment="1">
      <alignment vertical="center" wrapText="1" shrinkToFit="1"/>
    </xf>
    <xf numFmtId="0" fontId="0" fillId="9" borderId="0" xfId="0" applyFill="1"/>
    <xf numFmtId="0" fontId="6" fillId="0" borderId="0" xfId="0" applyFont="1"/>
    <xf numFmtId="0" fontId="3" fillId="10" borderId="0" xfId="2" applyFill="1"/>
    <xf numFmtId="164" fontId="0" fillId="0" borderId="0" xfId="1" applyNumberFormat="1" applyFont="1" applyBorder="1"/>
    <xf numFmtId="164" fontId="0" fillId="8" borderId="0" xfId="1" applyNumberFormat="1" applyFont="1" applyFill="1"/>
    <xf numFmtId="164" fontId="4" fillId="0" borderId="0" xfId="1" applyNumberFormat="1" applyFont="1" applyAlignment="1">
      <alignment horizontal="center"/>
    </xf>
    <xf numFmtId="164" fontId="16" fillId="11" borderId="5" xfId="1" applyNumberFormat="1" applyFont="1" applyFill="1" applyBorder="1"/>
    <xf numFmtId="0" fontId="0" fillId="0" borderId="0" xfId="0" applyFill="1" applyBorder="1" applyAlignment="1"/>
    <xf numFmtId="0" fontId="0" fillId="0" borderId="16" xfId="0" applyFill="1" applyBorder="1" applyAlignment="1"/>
    <xf numFmtId="0" fontId="15" fillId="12" borderId="5" xfId="0" applyFont="1" applyFill="1" applyBorder="1"/>
    <xf numFmtId="165" fontId="15" fillId="12" borderId="5" xfId="0" applyNumberFormat="1" applyFont="1" applyFill="1" applyBorder="1"/>
    <xf numFmtId="164" fontId="16" fillId="12" borderId="5" xfId="1" applyNumberFormat="1" applyFont="1" applyFill="1" applyBorder="1"/>
    <xf numFmtId="2" fontId="16" fillId="11" borderId="5" xfId="1" applyNumberFormat="1" applyFont="1" applyFill="1" applyBorder="1"/>
    <xf numFmtId="10" fontId="16" fillId="11" borderId="5" xfId="6" applyNumberFormat="1" applyFont="1" applyFill="1" applyBorder="1"/>
    <xf numFmtId="164" fontId="17" fillId="13" borderId="2" xfId="1" applyNumberFormat="1" applyFont="1" applyFill="1" applyBorder="1"/>
    <xf numFmtId="164" fontId="17" fillId="13" borderId="18" xfId="1" applyNumberFormat="1" applyFont="1" applyFill="1" applyBorder="1" applyAlignment="1">
      <alignment horizontal="center" vertical="center"/>
    </xf>
    <xf numFmtId="164" fontId="17" fillId="13" borderId="16" xfId="1" applyNumberFormat="1" applyFont="1" applyFill="1" applyBorder="1" applyAlignment="1">
      <alignment horizontal="center" vertical="center"/>
    </xf>
    <xf numFmtId="164" fontId="17" fillId="14" borderId="2" xfId="1" applyNumberFormat="1" applyFont="1" applyFill="1" applyBorder="1"/>
    <xf numFmtId="164" fontId="17" fillId="15" borderId="3" xfId="1" applyNumberFormat="1" applyFont="1" applyFill="1" applyBorder="1"/>
    <xf numFmtId="164" fontId="17" fillId="15" borderId="17" xfId="1" applyNumberFormat="1" applyFont="1" applyFill="1" applyBorder="1"/>
    <xf numFmtId="164" fontId="0" fillId="16" borderId="5" xfId="1" applyNumberFormat="1" applyFont="1" applyFill="1" applyBorder="1"/>
    <xf numFmtId="164" fontId="17" fillId="14" borderId="21" xfId="1" applyNumberFormat="1" applyFont="1" applyFill="1" applyBorder="1"/>
    <xf numFmtId="166" fontId="1" fillId="17" borderId="7" xfId="1" applyNumberFormat="1" applyFont="1" applyFill="1" applyBorder="1"/>
    <xf numFmtId="166" fontId="17" fillId="18" borderId="16" xfId="1" applyNumberFormat="1" applyFont="1" applyFill="1" applyBorder="1"/>
    <xf numFmtId="10" fontId="1" fillId="17" borderId="7" xfId="6" applyNumberFormat="1" applyFont="1" applyFill="1" applyBorder="1"/>
    <xf numFmtId="166" fontId="0" fillId="20" borderId="0" xfId="0" applyNumberFormat="1" applyFill="1"/>
    <xf numFmtId="166" fontId="0" fillId="12" borderId="0" xfId="0" applyNumberFormat="1" applyFill="1"/>
    <xf numFmtId="43" fontId="0" fillId="0" borderId="0" xfId="0" applyNumberFormat="1" applyFill="1" applyBorder="1" applyAlignment="1"/>
    <xf numFmtId="0" fontId="19" fillId="0" borderId="1" xfId="0" applyFont="1" applyFill="1" applyBorder="1" applyAlignment="1">
      <alignment horizontal="center"/>
    </xf>
    <xf numFmtId="164" fontId="17" fillId="8" borderId="0" xfId="1" applyNumberFormat="1" applyFont="1" applyFill="1" applyBorder="1"/>
    <xf numFmtId="166" fontId="1" fillId="8" borderId="0" xfId="1" applyNumberFormat="1" applyFont="1" applyFill="1" applyBorder="1"/>
    <xf numFmtId="10" fontId="1" fillId="8" borderId="0" xfId="6" applyNumberFormat="1" applyFont="1" applyFill="1" applyBorder="1"/>
    <xf numFmtId="164" fontId="0" fillId="8" borderId="0" xfId="1" applyNumberFormat="1" applyFont="1" applyFill="1" applyBorder="1"/>
    <xf numFmtId="2" fontId="16" fillId="8" borderId="0" xfId="1" applyNumberFormat="1" applyFont="1" applyFill="1" applyBorder="1"/>
    <xf numFmtId="1" fontId="16" fillId="11" borderId="5" xfId="1" applyNumberFormat="1" applyFont="1" applyFill="1" applyBorder="1"/>
    <xf numFmtId="166" fontId="16" fillId="11" borderId="5" xfId="7" applyNumberFormat="1" applyFont="1" applyFill="1" applyBorder="1"/>
    <xf numFmtId="9" fontId="16" fillId="11" borderId="5" xfId="6" applyFont="1" applyFill="1" applyBorder="1"/>
    <xf numFmtId="166" fontId="15" fillId="11" borderId="5" xfId="0" applyNumberFormat="1" applyFont="1" applyFill="1" applyBorder="1"/>
    <xf numFmtId="9" fontId="13" fillId="5" borderId="0" xfId="6" applyFont="1" applyFill="1"/>
    <xf numFmtId="9" fontId="0" fillId="0" borderId="0" xfId="6" applyFont="1" applyFill="1" applyBorder="1" applyAlignment="1"/>
    <xf numFmtId="166" fontId="13" fillId="5" borderId="0" xfId="1" applyNumberFormat="1" applyFont="1" applyFill="1"/>
    <xf numFmtId="166" fontId="0" fillId="0" borderId="0" xfId="0" applyNumberFormat="1" applyFill="1" applyBorder="1" applyAlignment="1"/>
    <xf numFmtId="166" fontId="16" fillId="11" borderId="5" xfId="1" applyNumberFormat="1" applyFont="1" applyFill="1" applyBorder="1"/>
    <xf numFmtId="166" fontId="15" fillId="11" borderId="5" xfId="1" applyNumberFormat="1" applyFont="1" applyFill="1" applyBorder="1"/>
    <xf numFmtId="0" fontId="11" fillId="0" borderId="13" xfId="2" quotePrefix="1" applyFont="1" applyBorder="1" applyAlignment="1">
      <alignment vertical="top" wrapText="1"/>
    </xf>
    <xf numFmtId="0" fontId="10" fillId="0" borderId="14" xfId="2" applyFont="1" applyBorder="1" applyAlignment="1">
      <alignment vertical="top" wrapText="1"/>
    </xf>
    <xf numFmtId="0" fontId="10" fillId="0" borderId="12" xfId="2" applyFont="1" applyBorder="1" applyAlignment="1">
      <alignment vertical="top" wrapText="1"/>
    </xf>
    <xf numFmtId="0" fontId="10" fillId="0" borderId="4" xfId="2" applyFont="1" applyBorder="1" applyAlignment="1">
      <alignment vertical="top" wrapText="1"/>
    </xf>
    <xf numFmtId="0" fontId="10" fillId="0" borderId="0" xfId="2" applyFont="1" applyAlignment="1">
      <alignment vertical="top" wrapText="1"/>
    </xf>
    <xf numFmtId="0" fontId="10" fillId="0" borderId="11" xfId="2" applyFont="1" applyBorder="1" applyAlignment="1">
      <alignment vertical="top" wrapText="1"/>
    </xf>
    <xf numFmtId="0" fontId="10" fillId="0" borderId="2" xfId="2" applyFont="1" applyBorder="1" applyAlignment="1">
      <alignment vertical="top" wrapText="1"/>
    </xf>
    <xf numFmtId="0" fontId="10" fillId="0" borderId="10" xfId="2" applyFont="1" applyBorder="1" applyAlignment="1">
      <alignment vertical="top" wrapText="1"/>
    </xf>
    <xf numFmtId="0" fontId="10" fillId="0" borderId="9" xfId="2" applyFont="1" applyBorder="1" applyAlignment="1">
      <alignment vertical="top" wrapText="1"/>
    </xf>
    <xf numFmtId="0" fontId="12" fillId="6" borderId="8" xfId="2" applyFont="1" applyFill="1" applyBorder="1" applyAlignment="1">
      <alignment horizontal="left"/>
    </xf>
    <xf numFmtId="0" fontId="12" fillId="6" borderId="7" xfId="2" applyFont="1" applyFill="1" applyBorder="1" applyAlignment="1">
      <alignment horizontal="left"/>
    </xf>
    <xf numFmtId="0" fontId="12" fillId="6" borderId="6" xfId="2" applyFont="1" applyFill="1" applyBorder="1" applyAlignment="1">
      <alignment horizontal="left"/>
    </xf>
    <xf numFmtId="0" fontId="9" fillId="0" borderId="8" xfId="2" applyFont="1" applyBorder="1" applyAlignment="1">
      <alignment horizontal="center"/>
    </xf>
    <xf numFmtId="0" fontId="9" fillId="0" borderId="7" xfId="2" applyFont="1" applyBorder="1" applyAlignment="1">
      <alignment horizontal="center"/>
    </xf>
    <xf numFmtId="0" fontId="9" fillId="0" borderId="6" xfId="2" applyFont="1" applyBorder="1" applyAlignment="1">
      <alignment horizontal="center"/>
    </xf>
    <xf numFmtId="164" fontId="17" fillId="19" borderId="15" xfId="1" applyNumberFormat="1" applyFont="1" applyFill="1" applyBorder="1" applyAlignment="1">
      <alignment horizontal="center"/>
    </xf>
    <xf numFmtId="164" fontId="17" fillId="19" borderId="11" xfId="1" applyNumberFormat="1" applyFont="1" applyFill="1" applyBorder="1" applyAlignment="1">
      <alignment horizontal="center"/>
    </xf>
    <xf numFmtId="164" fontId="17" fillId="13" borderId="18" xfId="1" applyNumberFormat="1" applyFont="1" applyFill="1" applyBorder="1" applyAlignment="1">
      <alignment horizontal="center" vertical="center"/>
    </xf>
    <xf numFmtId="164" fontId="17" fillId="13" borderId="16" xfId="1" applyNumberFormat="1" applyFont="1" applyFill="1" applyBorder="1" applyAlignment="1">
      <alignment horizontal="center" vertical="center"/>
    </xf>
    <xf numFmtId="164" fontId="17" fillId="13" borderId="16" xfId="1" applyNumberFormat="1" applyFont="1" applyFill="1" applyBorder="1" applyAlignment="1">
      <alignment horizontal="center"/>
    </xf>
    <xf numFmtId="164" fontId="17" fillId="13" borderId="2" xfId="1" applyNumberFormat="1" applyFont="1" applyFill="1" applyBorder="1" applyAlignment="1">
      <alignment horizontal="center"/>
    </xf>
    <xf numFmtId="164" fontId="17" fillId="13" borderId="10" xfId="1" applyNumberFormat="1" applyFont="1" applyFill="1" applyBorder="1" applyAlignment="1">
      <alignment horizontal="center"/>
    </xf>
    <xf numFmtId="164" fontId="17" fillId="19" borderId="13" xfId="1" applyNumberFormat="1" applyFont="1" applyFill="1" applyBorder="1" applyAlignment="1">
      <alignment horizontal="center"/>
    </xf>
    <xf numFmtId="164" fontId="17" fillId="19" borderId="12" xfId="1" applyNumberFormat="1" applyFont="1" applyFill="1" applyBorder="1" applyAlignment="1">
      <alignment horizontal="center"/>
    </xf>
    <xf numFmtId="164" fontId="17" fillId="14" borderId="19" xfId="1" applyNumberFormat="1" applyFont="1" applyFill="1" applyBorder="1" applyAlignment="1">
      <alignment horizontal="center"/>
    </xf>
    <xf numFmtId="164" fontId="17" fillId="14" borderId="20" xfId="1" applyNumberFormat="1" applyFont="1" applyFill="1" applyBorder="1" applyAlignment="1">
      <alignment horizontal="center"/>
    </xf>
    <xf numFmtId="164" fontId="17" fillId="8" borderId="0" xfId="1" applyNumberFormat="1" applyFont="1" applyFill="1" applyBorder="1" applyAlignment="1">
      <alignment horizontal="center"/>
    </xf>
    <xf numFmtId="164" fontId="17" fillId="8" borderId="0" xfId="1" applyNumberFormat="1" applyFont="1" applyFill="1" applyBorder="1" applyAlignment="1">
      <alignment horizontal="center" vertical="center"/>
    </xf>
  </cellXfs>
  <cellStyles count="8">
    <cellStyle name="Comma" xfId="1" builtinId="3"/>
    <cellStyle name="Comma 2" xfId="4"/>
    <cellStyle name="Currency" xfId="7" builtinId="4"/>
    <cellStyle name="Currency 2" xfId="3"/>
    <cellStyle name="Normal" xfId="0" builtinId="0"/>
    <cellStyle name="Normal 2" xfId="2"/>
    <cellStyle name="Percent" xfId="6" builtinId="5"/>
    <cellStyle name="Percent 2" xfId="5"/>
  </cellStyles>
  <dxfs count="0"/>
  <tableStyles count="0" defaultTableStyle="TableStyleMedium2" defaultPivotStyle="PivotStyleLight16"/>
  <colors>
    <mruColors>
      <color rgb="FFFFFF99"/>
      <color rgb="FF0E50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 Frequency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'Monte Carlo Cash Flows'!$L$33</c:f>
              <c:strCache>
                <c:ptCount val="1"/>
                <c:pt idx="0">
                  <c:v>Frequency</c:v>
                </c:pt>
              </c:strCache>
            </c:strRef>
          </c:tx>
          <c:spPr>
            <a:solidFill>
              <a:schemeClr val="accent1"/>
            </a:solidFill>
            <a:ln>
              <a:noFill/>
            </a:ln>
            <a:effectLst/>
          </c:spPr>
          <c:invertIfNegative val="0"/>
          <c:cat>
            <c:numRef>
              <c:f>'Monte Carlo Cash Flows'!$K$34:$K$49</c:f>
              <c:numCache>
                <c:formatCode>0%</c:formatCode>
                <c:ptCount val="16"/>
                <c:pt idx="0">
                  <c:v>0</c:v>
                </c:pt>
                <c:pt idx="1">
                  <c:v>0.02</c:v>
                </c:pt>
                <c:pt idx="2">
                  <c:v>0.04</c:v>
                </c:pt>
                <c:pt idx="3">
                  <c:v>0.06</c:v>
                </c:pt>
                <c:pt idx="4">
                  <c:v>0.08</c:v>
                </c:pt>
                <c:pt idx="5">
                  <c:v>0.1</c:v>
                </c:pt>
                <c:pt idx="6">
                  <c:v>0.12</c:v>
                </c:pt>
                <c:pt idx="7">
                  <c:v>0.14000000000000001</c:v>
                </c:pt>
                <c:pt idx="8">
                  <c:v>0.16</c:v>
                </c:pt>
                <c:pt idx="9">
                  <c:v>0.18</c:v>
                </c:pt>
                <c:pt idx="10">
                  <c:v>0.2</c:v>
                </c:pt>
                <c:pt idx="11">
                  <c:v>0.22</c:v>
                </c:pt>
                <c:pt idx="12">
                  <c:v>0.24</c:v>
                </c:pt>
                <c:pt idx="13">
                  <c:v>0.26</c:v>
                </c:pt>
                <c:pt idx="14">
                  <c:v>0.28000000000000003</c:v>
                </c:pt>
                <c:pt idx="15">
                  <c:v>0.3</c:v>
                </c:pt>
              </c:numCache>
            </c:numRef>
          </c:cat>
          <c:val>
            <c:numRef>
              <c:f>'Monte Carlo Cash Flows'!$L$34:$L$49</c:f>
              <c:numCache>
                <c:formatCode>General</c:formatCode>
                <c:ptCount val="16"/>
                <c:pt idx="0">
                  <c:v>0</c:v>
                </c:pt>
                <c:pt idx="1">
                  <c:v>0</c:v>
                </c:pt>
                <c:pt idx="2">
                  <c:v>0</c:v>
                </c:pt>
                <c:pt idx="3">
                  <c:v>1</c:v>
                </c:pt>
                <c:pt idx="4">
                  <c:v>3</c:v>
                </c:pt>
                <c:pt idx="5">
                  <c:v>42</c:v>
                </c:pt>
                <c:pt idx="6">
                  <c:v>122</c:v>
                </c:pt>
                <c:pt idx="7">
                  <c:v>109</c:v>
                </c:pt>
                <c:pt idx="8">
                  <c:v>20</c:v>
                </c:pt>
                <c:pt idx="9">
                  <c:v>3</c:v>
                </c:pt>
                <c:pt idx="10">
                  <c:v>0</c:v>
                </c:pt>
                <c:pt idx="11">
                  <c:v>0</c:v>
                </c:pt>
                <c:pt idx="12">
                  <c:v>0</c:v>
                </c:pt>
                <c:pt idx="13">
                  <c:v>0</c:v>
                </c:pt>
                <c:pt idx="14">
                  <c:v>0</c:v>
                </c:pt>
                <c:pt idx="15">
                  <c:v>0</c:v>
                </c:pt>
              </c:numCache>
            </c:numRef>
          </c:val>
          <c:extLst>
            <c:ext xmlns:c16="http://schemas.microsoft.com/office/drawing/2014/chart" uri="{C3380CC4-5D6E-409C-BE32-E72D297353CC}">
              <c16:uniqueId val="{00000000-3FAC-4276-908E-DBC4EB5C24BA}"/>
            </c:ext>
          </c:extLst>
        </c:ser>
        <c:dLbls>
          <c:showLegendKey val="0"/>
          <c:showVal val="0"/>
          <c:showCatName val="0"/>
          <c:showSerName val="0"/>
          <c:showPercent val="0"/>
          <c:showBubbleSize val="0"/>
        </c:dLbls>
        <c:gapWidth val="219"/>
        <c:overlap val="-27"/>
        <c:axId val="581011736"/>
        <c:axId val="587957296"/>
      </c:barChart>
      <c:catAx>
        <c:axId val="5810117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IRR(%)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957296"/>
        <c:crosses val="autoZero"/>
        <c:auto val="1"/>
        <c:lblAlgn val="ctr"/>
        <c:lblOffset val="100"/>
        <c:tickLblSkip val="1"/>
        <c:noMultiLvlLbl val="0"/>
      </c:catAx>
      <c:valAx>
        <c:axId val="587957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011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 Frequency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'Monte Carlo Cash Flows'!$L$53</c:f>
              <c:strCache>
                <c:ptCount val="1"/>
                <c:pt idx="0">
                  <c:v>Frequency</c:v>
                </c:pt>
              </c:strCache>
            </c:strRef>
          </c:tx>
          <c:spPr>
            <a:solidFill>
              <a:schemeClr val="accent1"/>
            </a:solidFill>
            <a:ln>
              <a:noFill/>
            </a:ln>
            <a:effectLst/>
          </c:spPr>
          <c:invertIfNegative val="0"/>
          <c:cat>
            <c:numRef>
              <c:f>'Monte Carlo Cash Flows'!$K$54:$K$84</c:f>
              <c:numCache>
                <c:formatCode>"$"#,##0.00</c:formatCode>
                <c:ptCount val="31"/>
                <c:pt idx="0">
                  <c:v>-500000</c:v>
                </c:pt>
                <c:pt idx="1">
                  <c:v>-450000</c:v>
                </c:pt>
                <c:pt idx="2">
                  <c:v>-400000</c:v>
                </c:pt>
                <c:pt idx="3">
                  <c:v>-350000</c:v>
                </c:pt>
                <c:pt idx="4">
                  <c:v>-300000</c:v>
                </c:pt>
                <c:pt idx="5">
                  <c:v>-250000</c:v>
                </c:pt>
                <c:pt idx="6">
                  <c:v>-200000</c:v>
                </c:pt>
                <c:pt idx="7">
                  <c:v>-150000</c:v>
                </c:pt>
                <c:pt idx="8">
                  <c:v>-100000</c:v>
                </c:pt>
                <c:pt idx="9">
                  <c:v>-50000</c:v>
                </c:pt>
                <c:pt idx="10">
                  <c:v>0</c:v>
                </c:pt>
                <c:pt idx="11">
                  <c:v>50000</c:v>
                </c:pt>
                <c:pt idx="12">
                  <c:v>100000</c:v>
                </c:pt>
                <c:pt idx="13">
                  <c:v>150000</c:v>
                </c:pt>
                <c:pt idx="14">
                  <c:v>200000</c:v>
                </c:pt>
                <c:pt idx="15">
                  <c:v>250000</c:v>
                </c:pt>
                <c:pt idx="16">
                  <c:v>300000</c:v>
                </c:pt>
                <c:pt idx="17">
                  <c:v>350000</c:v>
                </c:pt>
                <c:pt idx="18">
                  <c:v>400000</c:v>
                </c:pt>
                <c:pt idx="19">
                  <c:v>450000</c:v>
                </c:pt>
                <c:pt idx="20">
                  <c:v>500000</c:v>
                </c:pt>
                <c:pt idx="21">
                  <c:v>550000</c:v>
                </c:pt>
                <c:pt idx="22">
                  <c:v>600000</c:v>
                </c:pt>
                <c:pt idx="23">
                  <c:v>650000</c:v>
                </c:pt>
                <c:pt idx="24">
                  <c:v>700000</c:v>
                </c:pt>
                <c:pt idx="25">
                  <c:v>750000</c:v>
                </c:pt>
                <c:pt idx="26">
                  <c:v>800000</c:v>
                </c:pt>
                <c:pt idx="27">
                  <c:v>850000</c:v>
                </c:pt>
                <c:pt idx="28">
                  <c:v>900000</c:v>
                </c:pt>
                <c:pt idx="29">
                  <c:v>950000</c:v>
                </c:pt>
                <c:pt idx="30">
                  <c:v>1000000</c:v>
                </c:pt>
              </c:numCache>
            </c:numRef>
          </c:cat>
          <c:val>
            <c:numRef>
              <c:f>'Monte Carlo Cash Flows'!$L$54:$L$84</c:f>
              <c:numCache>
                <c:formatCode>General</c:formatCode>
                <c:ptCount val="31"/>
                <c:pt idx="0">
                  <c:v>1</c:v>
                </c:pt>
                <c:pt idx="1">
                  <c:v>0</c:v>
                </c:pt>
                <c:pt idx="2">
                  <c:v>0</c:v>
                </c:pt>
                <c:pt idx="3">
                  <c:v>0</c:v>
                </c:pt>
                <c:pt idx="4">
                  <c:v>0</c:v>
                </c:pt>
                <c:pt idx="5">
                  <c:v>0</c:v>
                </c:pt>
                <c:pt idx="6">
                  <c:v>0</c:v>
                </c:pt>
                <c:pt idx="7">
                  <c:v>1</c:v>
                </c:pt>
                <c:pt idx="8">
                  <c:v>0</c:v>
                </c:pt>
                <c:pt idx="9">
                  <c:v>1</c:v>
                </c:pt>
                <c:pt idx="10">
                  <c:v>1</c:v>
                </c:pt>
                <c:pt idx="11">
                  <c:v>1</c:v>
                </c:pt>
                <c:pt idx="12">
                  <c:v>3</c:v>
                </c:pt>
                <c:pt idx="13">
                  <c:v>8</c:v>
                </c:pt>
                <c:pt idx="14">
                  <c:v>9</c:v>
                </c:pt>
                <c:pt idx="15">
                  <c:v>10</c:v>
                </c:pt>
                <c:pt idx="16">
                  <c:v>10</c:v>
                </c:pt>
                <c:pt idx="17">
                  <c:v>12</c:v>
                </c:pt>
                <c:pt idx="18">
                  <c:v>11</c:v>
                </c:pt>
                <c:pt idx="19">
                  <c:v>17</c:v>
                </c:pt>
                <c:pt idx="20">
                  <c:v>19</c:v>
                </c:pt>
                <c:pt idx="21">
                  <c:v>19</c:v>
                </c:pt>
                <c:pt idx="22">
                  <c:v>26</c:v>
                </c:pt>
                <c:pt idx="23">
                  <c:v>25</c:v>
                </c:pt>
                <c:pt idx="24">
                  <c:v>22</c:v>
                </c:pt>
                <c:pt idx="25">
                  <c:v>22</c:v>
                </c:pt>
                <c:pt idx="26">
                  <c:v>22</c:v>
                </c:pt>
                <c:pt idx="27">
                  <c:v>16</c:v>
                </c:pt>
                <c:pt idx="28">
                  <c:v>12</c:v>
                </c:pt>
                <c:pt idx="29">
                  <c:v>8</c:v>
                </c:pt>
                <c:pt idx="30">
                  <c:v>5</c:v>
                </c:pt>
              </c:numCache>
            </c:numRef>
          </c:val>
          <c:extLst>
            <c:ext xmlns:c16="http://schemas.microsoft.com/office/drawing/2014/chart" uri="{C3380CC4-5D6E-409C-BE32-E72D297353CC}">
              <c16:uniqueId val="{00000000-26BB-4A59-93C9-2FA8CCF83314}"/>
            </c:ext>
          </c:extLst>
        </c:ser>
        <c:dLbls>
          <c:showLegendKey val="0"/>
          <c:showVal val="0"/>
          <c:showCatName val="0"/>
          <c:showSerName val="0"/>
          <c:showPercent val="0"/>
          <c:showBubbleSize val="0"/>
        </c:dLbls>
        <c:gapWidth val="219"/>
        <c:overlap val="-27"/>
        <c:axId val="578740000"/>
        <c:axId val="439206984"/>
      </c:barChart>
      <c:catAx>
        <c:axId val="5787400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NPV($)</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06984"/>
        <c:crosses val="autoZero"/>
        <c:auto val="1"/>
        <c:lblAlgn val="ctr"/>
        <c:lblOffset val="100"/>
        <c:tickMarkSkip val="1"/>
        <c:noMultiLvlLbl val="0"/>
      </c:catAx>
      <c:valAx>
        <c:axId val="439206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74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409575</xdr:colOff>
          <xdr:row>6</xdr:row>
          <xdr:rowOff>142875</xdr:rowOff>
        </xdr:from>
        <xdr:to>
          <xdr:col>21</xdr:col>
          <xdr:colOff>1247775</xdr:colOff>
          <xdr:row>15</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Generate Random #'s</a:t>
              </a:r>
            </a:p>
          </xdr:txBody>
        </xdr:sp>
        <xdr:clientData fPrintsWithSheet="0"/>
      </xdr:twoCellAnchor>
    </mc:Choice>
    <mc:Fallback/>
  </mc:AlternateContent>
  <xdr:twoCellAnchor>
    <xdr:from>
      <xdr:col>12</xdr:col>
      <xdr:colOff>883920</xdr:colOff>
      <xdr:row>20</xdr:row>
      <xdr:rowOff>30480</xdr:rowOff>
    </xdr:from>
    <xdr:to>
      <xdr:col>20</xdr:col>
      <xdr:colOff>441960</xdr:colOff>
      <xdr:row>48</xdr:row>
      <xdr:rowOff>60960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883920</xdr:colOff>
      <xdr:row>52</xdr:row>
      <xdr:rowOff>0</xdr:rowOff>
    </xdr:from>
    <xdr:to>
      <xdr:col>20</xdr:col>
      <xdr:colOff>472440</xdr:colOff>
      <xdr:row>82</xdr:row>
      <xdr:rowOff>30480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3"/>
  <sheetViews>
    <sheetView topLeftCell="A18" workbookViewId="0">
      <selection activeCell="E31" sqref="E31"/>
    </sheetView>
  </sheetViews>
  <sheetFormatPr defaultColWidth="9.140625" defaultRowHeight="12.75" x14ac:dyDescent="0.2"/>
  <cols>
    <col min="1" max="1" width="12.7109375" style="1" bestFit="1" customWidth="1"/>
    <col min="2" max="4" width="9.140625" style="1"/>
    <col min="5" max="5" width="39.28515625" style="1" customWidth="1"/>
    <col min="6" max="6" width="51.42578125" style="1" customWidth="1"/>
    <col min="7" max="7" width="12.7109375" style="1" customWidth="1"/>
    <col min="8" max="8" width="15.28515625" style="1" customWidth="1"/>
    <col min="9" max="9" width="53.7109375" style="1" customWidth="1"/>
    <col min="10" max="16384" width="9.140625" style="1"/>
  </cols>
  <sheetData>
    <row r="1" spans="1:5" ht="15.75" x14ac:dyDescent="0.25">
      <c r="A1" s="77" t="s">
        <v>58</v>
      </c>
      <c r="B1" s="78"/>
      <c r="C1" s="78"/>
      <c r="D1" s="78"/>
      <c r="E1" s="79"/>
    </row>
    <row r="2" spans="1:5" ht="15" x14ac:dyDescent="0.2">
      <c r="A2" s="7"/>
      <c r="B2" s="7"/>
      <c r="C2" s="7"/>
      <c r="D2" s="7"/>
      <c r="E2" s="7"/>
    </row>
    <row r="3" spans="1:5" ht="15.75" x14ac:dyDescent="0.25">
      <c r="A3" s="7" t="s">
        <v>38</v>
      </c>
      <c r="B3" s="74"/>
      <c r="C3" s="75"/>
      <c r="D3" s="75"/>
      <c r="E3" s="76"/>
    </row>
    <row r="4" spans="1:5" ht="15" x14ac:dyDescent="0.2">
      <c r="A4" s="7"/>
      <c r="B4" s="7"/>
      <c r="C4" s="7"/>
      <c r="D4" s="7"/>
      <c r="E4" s="7"/>
    </row>
    <row r="5" spans="1:5" ht="15.75" x14ac:dyDescent="0.25">
      <c r="A5" s="7" t="s">
        <v>37</v>
      </c>
      <c r="B5" s="16">
        <f>H25</f>
        <v>0</v>
      </c>
      <c r="C5" s="7"/>
      <c r="D5" s="7"/>
      <c r="E5" s="7"/>
    </row>
    <row r="6" spans="1:5" ht="15" x14ac:dyDescent="0.2">
      <c r="A6" s="7"/>
      <c r="B6" s="7"/>
      <c r="C6" s="7"/>
      <c r="D6" s="7"/>
      <c r="E6" s="7"/>
    </row>
    <row r="7" spans="1:5" ht="15" x14ac:dyDescent="0.2">
      <c r="A7" s="7" t="s">
        <v>36</v>
      </c>
      <c r="B7" s="65"/>
      <c r="C7" s="66"/>
      <c r="D7" s="66"/>
      <c r="E7" s="67"/>
    </row>
    <row r="8" spans="1:5" ht="15" x14ac:dyDescent="0.2">
      <c r="A8" s="7"/>
      <c r="B8" s="68"/>
      <c r="C8" s="69"/>
      <c r="D8" s="69"/>
      <c r="E8" s="70"/>
    </row>
    <row r="9" spans="1:5" ht="15" x14ac:dyDescent="0.2">
      <c r="A9" s="7"/>
      <c r="B9" s="68"/>
      <c r="C9" s="69"/>
      <c r="D9" s="69"/>
      <c r="E9" s="70"/>
    </row>
    <row r="10" spans="1:5" ht="15" x14ac:dyDescent="0.2">
      <c r="A10" s="7"/>
      <c r="B10" s="68"/>
      <c r="C10" s="69"/>
      <c r="D10" s="69"/>
      <c r="E10" s="70"/>
    </row>
    <row r="11" spans="1:5" ht="15" x14ac:dyDescent="0.2">
      <c r="A11" s="7"/>
      <c r="B11" s="68"/>
      <c r="C11" s="69"/>
      <c r="D11" s="69"/>
      <c r="E11" s="70"/>
    </row>
    <row r="12" spans="1:5" ht="15" x14ac:dyDescent="0.2">
      <c r="A12" s="7"/>
      <c r="B12" s="71"/>
      <c r="C12" s="72"/>
      <c r="D12" s="72"/>
      <c r="E12" s="73"/>
    </row>
    <row r="13" spans="1:5" ht="15" x14ac:dyDescent="0.2">
      <c r="A13" s="7"/>
      <c r="B13" s="7"/>
      <c r="C13" s="7"/>
      <c r="D13" s="7"/>
      <c r="E13" s="7"/>
    </row>
    <row r="14" spans="1:5" ht="15" x14ac:dyDescent="0.2">
      <c r="A14" s="7"/>
      <c r="B14" s="7"/>
      <c r="C14" s="7"/>
      <c r="D14" s="7"/>
      <c r="E14" s="7"/>
    </row>
    <row r="15" spans="1:5" ht="15.75" x14ac:dyDescent="0.25">
      <c r="A15" s="15" t="s">
        <v>35</v>
      </c>
      <c r="B15" s="14"/>
      <c r="C15" s="14"/>
      <c r="D15" s="14"/>
      <c r="E15" s="13"/>
    </row>
    <row r="16" spans="1:5" ht="15.75" x14ac:dyDescent="0.25">
      <c r="A16" s="12"/>
      <c r="B16" s="11"/>
      <c r="C16" s="11"/>
      <c r="D16" s="11"/>
      <c r="E16" s="11"/>
    </row>
    <row r="17" spans="1:9" ht="15" x14ac:dyDescent="0.2">
      <c r="A17" s="7"/>
      <c r="B17" s="7"/>
      <c r="C17" s="7"/>
      <c r="D17" s="7"/>
      <c r="E17" s="7"/>
    </row>
    <row r="18" spans="1:9" ht="15" x14ac:dyDescent="0.2">
      <c r="A18" s="17"/>
      <c r="C18" s="7" t="s">
        <v>34</v>
      </c>
      <c r="D18" s="7"/>
      <c r="E18" s="7"/>
      <c r="F18" s="6" t="s">
        <v>27</v>
      </c>
      <c r="G18" s="6" t="s">
        <v>26</v>
      </c>
      <c r="H18" s="6" t="s">
        <v>25</v>
      </c>
      <c r="I18" s="6" t="s">
        <v>24</v>
      </c>
    </row>
    <row r="19" spans="1:9" ht="15.75" x14ac:dyDescent="0.25">
      <c r="A19" s="7"/>
      <c r="C19" s="7" t="s">
        <v>33</v>
      </c>
      <c r="D19" s="7"/>
      <c r="E19" s="7"/>
      <c r="F19" s="4" t="s">
        <v>23</v>
      </c>
      <c r="G19" s="4">
        <v>20</v>
      </c>
      <c r="H19" s="4"/>
      <c r="I19" s="5"/>
    </row>
    <row r="20" spans="1:9" ht="15.75" x14ac:dyDescent="0.25">
      <c r="A20" s="7"/>
      <c r="C20" s="7" t="s">
        <v>69</v>
      </c>
      <c r="D20" s="7"/>
      <c r="E20" s="7"/>
      <c r="F20" s="4" t="s">
        <v>22</v>
      </c>
      <c r="G20" s="4">
        <v>5</v>
      </c>
      <c r="H20" s="4"/>
      <c r="I20" s="5"/>
    </row>
    <row r="21" spans="1:9" ht="29.25" x14ac:dyDescent="0.25">
      <c r="A21" s="10"/>
      <c r="C21" s="7" t="s">
        <v>32</v>
      </c>
      <c r="D21" s="7"/>
      <c r="E21" s="7"/>
      <c r="F21" s="4" t="s">
        <v>21</v>
      </c>
      <c r="G21" s="4">
        <v>15</v>
      </c>
      <c r="H21" s="4"/>
      <c r="I21" s="5"/>
    </row>
    <row r="22" spans="1:9" ht="15.75" x14ac:dyDescent="0.25">
      <c r="A22" s="7"/>
      <c r="C22" s="7" t="s">
        <v>31</v>
      </c>
      <c r="D22" s="7"/>
      <c r="E22" s="7"/>
      <c r="F22" s="4" t="s">
        <v>20</v>
      </c>
      <c r="G22" s="4">
        <v>5</v>
      </c>
      <c r="H22" s="4"/>
      <c r="I22" s="5"/>
    </row>
    <row r="23" spans="1:9" ht="15.75" x14ac:dyDescent="0.25">
      <c r="A23" s="7"/>
      <c r="C23" s="7" t="s">
        <v>30</v>
      </c>
      <c r="D23" s="7"/>
      <c r="E23" s="7"/>
      <c r="F23" s="4" t="s">
        <v>57</v>
      </c>
      <c r="G23" s="4">
        <v>5</v>
      </c>
      <c r="H23" s="4"/>
      <c r="I23" s="5"/>
    </row>
    <row r="24" spans="1:9" ht="72" x14ac:dyDescent="0.25">
      <c r="A24" s="7"/>
      <c r="C24" s="7"/>
      <c r="D24" s="7"/>
      <c r="E24" s="7"/>
      <c r="F24" s="4" t="s">
        <v>19</v>
      </c>
      <c r="G24" s="4">
        <v>0</v>
      </c>
      <c r="H24" s="4"/>
      <c r="I24" s="5"/>
    </row>
    <row r="25" spans="1:9" ht="15.75" x14ac:dyDescent="0.25">
      <c r="A25" s="9"/>
      <c r="C25" s="7" t="s">
        <v>29</v>
      </c>
      <c r="D25" s="7"/>
      <c r="E25" s="7"/>
      <c r="F25" s="4" t="s">
        <v>18</v>
      </c>
      <c r="G25" s="3">
        <f>SUM(G19:G24)</f>
        <v>50</v>
      </c>
      <c r="H25" s="3">
        <f>SUM(H19:H24)</f>
        <v>0</v>
      </c>
      <c r="I25" s="2"/>
    </row>
    <row r="26" spans="1:9" ht="15" x14ac:dyDescent="0.2">
      <c r="A26" s="7"/>
      <c r="C26" s="7" t="s">
        <v>28</v>
      </c>
      <c r="D26" s="7"/>
      <c r="E26" s="7"/>
    </row>
    <row r="27" spans="1:9" ht="15" x14ac:dyDescent="0.2">
      <c r="A27" s="7"/>
      <c r="C27" s="7"/>
      <c r="D27" s="7"/>
      <c r="E27" s="7"/>
    </row>
    <row r="28" spans="1:9" ht="15" x14ac:dyDescent="0.2">
      <c r="D28" s="7"/>
      <c r="E28" s="7"/>
    </row>
    <row r="29" spans="1:9" ht="15" x14ac:dyDescent="0.2">
      <c r="A29" s="8"/>
      <c r="C29" s="7" t="s">
        <v>68</v>
      </c>
      <c r="D29" s="7"/>
      <c r="E29" s="7"/>
    </row>
    <row r="30" spans="1:9" ht="15" x14ac:dyDescent="0.2">
      <c r="D30" s="7"/>
      <c r="E30" s="7"/>
    </row>
    <row r="31" spans="1:9" ht="15" x14ac:dyDescent="0.25">
      <c r="A31" s="21"/>
      <c r="C31" s="22" t="s">
        <v>74</v>
      </c>
    </row>
    <row r="33" spans="1:3" x14ac:dyDescent="0.2">
      <c r="A33" s="23"/>
      <c r="C33" s="1" t="s">
        <v>77</v>
      </c>
    </row>
  </sheetData>
  <mergeCells count="3">
    <mergeCell ref="B7:E12"/>
    <mergeCell ref="B3:E3"/>
    <mergeCell ref="A1:E1"/>
  </mergeCell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U333"/>
  <sheetViews>
    <sheetView tabSelected="1" zoomScale="60" zoomScaleNormal="60" workbookViewId="0">
      <selection activeCell="K53" sqref="K53:L53"/>
    </sheetView>
  </sheetViews>
  <sheetFormatPr defaultColWidth="9.140625" defaultRowHeight="15" x14ac:dyDescent="0.25"/>
  <cols>
    <col min="1" max="1" width="9.140625" style="25"/>
    <col min="2" max="2" width="34.140625" style="25" customWidth="1"/>
    <col min="3" max="3" width="28.140625" style="25" customWidth="1"/>
    <col min="4" max="4" width="16.140625" style="25" bestFit="1" customWidth="1"/>
    <col min="5" max="5" width="24.7109375" style="25" customWidth="1"/>
    <col min="6" max="11" width="19.28515625" style="25" customWidth="1"/>
    <col min="12" max="12" width="16.85546875" style="25" bestFit="1" customWidth="1"/>
    <col min="13" max="13" width="23.42578125" style="25" bestFit="1" customWidth="1"/>
    <col min="14" max="14" width="14.7109375" style="25" bestFit="1" customWidth="1"/>
    <col min="15" max="15" width="14" style="25" customWidth="1"/>
    <col min="16" max="22" width="20.28515625" style="25" customWidth="1"/>
    <col min="23" max="16384" width="9.140625" style="25"/>
  </cols>
  <sheetData>
    <row r="2" spans="2:21" ht="15.75" thickBot="1" x14ac:dyDescent="0.3">
      <c r="E2" s="85" t="s">
        <v>53</v>
      </c>
      <c r="F2" s="86"/>
      <c r="G2" s="86"/>
      <c r="H2" s="86"/>
      <c r="I2" s="86"/>
      <c r="J2" s="86"/>
      <c r="K2" s="86"/>
      <c r="M2" s="82" t="s">
        <v>55</v>
      </c>
      <c r="N2" s="83"/>
      <c r="O2" s="83"/>
      <c r="P2" s="83"/>
      <c r="Q2" s="83"/>
      <c r="R2" s="83"/>
      <c r="T2" s="82" t="s">
        <v>62</v>
      </c>
      <c r="U2" s="83"/>
    </row>
    <row r="3" spans="2:21" ht="15.75" thickBot="1" x14ac:dyDescent="0.3">
      <c r="B3" s="36" t="s">
        <v>51</v>
      </c>
      <c r="C3" s="37"/>
      <c r="E3" s="41" t="s">
        <v>52</v>
      </c>
      <c r="F3" s="39">
        <v>0</v>
      </c>
      <c r="G3" s="39">
        <v>1</v>
      </c>
      <c r="H3" s="39">
        <v>2</v>
      </c>
      <c r="I3" s="39">
        <v>3</v>
      </c>
      <c r="J3" s="39">
        <v>4</v>
      </c>
      <c r="K3" s="39">
        <v>5</v>
      </c>
      <c r="M3" s="89" t="s">
        <v>17</v>
      </c>
      <c r="N3" s="90"/>
      <c r="O3" s="38" t="s">
        <v>16</v>
      </c>
      <c r="P3" s="38"/>
      <c r="Q3" s="38" t="s">
        <v>14</v>
      </c>
      <c r="R3" s="38" t="s">
        <v>15</v>
      </c>
      <c r="T3" s="33" t="s">
        <v>63</v>
      </c>
      <c r="U3" s="33" t="s">
        <v>61</v>
      </c>
    </row>
    <row r="4" spans="2:21" x14ac:dyDescent="0.25">
      <c r="B4" s="33" t="s">
        <v>60</v>
      </c>
      <c r="C4" s="33" t="s">
        <v>61</v>
      </c>
      <c r="E4" s="39" t="s">
        <v>50</v>
      </c>
      <c r="F4" s="43"/>
      <c r="G4" s="43">
        <f>C6*C5</f>
        <v>4000000</v>
      </c>
      <c r="H4" s="43">
        <f>G4*(1+$C$7)</f>
        <v>4280000</v>
      </c>
      <c r="I4" s="43">
        <f>H4*(1+$C$7)</f>
        <v>4579600</v>
      </c>
      <c r="J4" s="43">
        <f>I4*(1+$C$7)</f>
        <v>4900172</v>
      </c>
      <c r="K4" s="43">
        <f>J4*(1+$C$7)</f>
        <v>5243184.04</v>
      </c>
      <c r="M4" s="33" t="s">
        <v>13</v>
      </c>
      <c r="N4" s="33">
        <v>300</v>
      </c>
      <c r="O4" s="87" t="s">
        <v>12</v>
      </c>
      <c r="P4" s="88"/>
      <c r="Q4" s="45">
        <f>_xlfn.NORM.DIST(R4,$N$7,$N$8,TRUE)</f>
        <v>1.5232929052687003E-2</v>
      </c>
      <c r="R4" s="43">
        <v>0</v>
      </c>
      <c r="T4" s="35" t="s">
        <v>64</v>
      </c>
      <c r="U4" s="43">
        <f>NPV(C14,G28:K28)+F28</f>
        <v>588069.75028219819</v>
      </c>
    </row>
    <row r="5" spans="2:21" x14ac:dyDescent="0.25">
      <c r="B5" s="30" t="s">
        <v>80</v>
      </c>
      <c r="C5" s="55">
        <v>80000</v>
      </c>
      <c r="E5" s="39" t="s">
        <v>49</v>
      </c>
      <c r="F5" s="43"/>
      <c r="G5" s="43">
        <f>$C$10*G4</f>
        <v>2200000</v>
      </c>
      <c r="H5" s="43">
        <f>$C$10*H4</f>
        <v>2354000</v>
      </c>
      <c r="I5" s="43">
        <f>$C$10*I4</f>
        <v>2518780</v>
      </c>
      <c r="J5" s="43">
        <f>$C$10*J4</f>
        <v>2695094.6</v>
      </c>
      <c r="K5" s="43">
        <f>$C$10*K4</f>
        <v>2883751.2220000001</v>
      </c>
      <c r="M5" s="39" t="s">
        <v>10</v>
      </c>
      <c r="N5" s="43">
        <f>MAX('Monte Carlo Cash Flows'!$C$34:$C$333)</f>
        <v>1418282.2554074293</v>
      </c>
      <c r="O5" s="80" t="s">
        <v>8</v>
      </c>
      <c r="P5" s="81"/>
      <c r="Q5" s="45">
        <f>1-_xlfn.NORM.DIST(R5,$N$7,$N$8,TRUE)</f>
        <v>0.98476707094731297</v>
      </c>
      <c r="R5" s="43">
        <v>0</v>
      </c>
      <c r="T5" s="35" t="s">
        <v>65</v>
      </c>
      <c r="U5" s="45">
        <f>IRR(F28:K28)</f>
        <v>0.11674071566609934</v>
      </c>
    </row>
    <row r="6" spans="2:21" x14ac:dyDescent="0.25">
      <c r="B6" s="30" t="s">
        <v>81</v>
      </c>
      <c r="C6" s="64">
        <v>50</v>
      </c>
      <c r="E6" s="39" t="s">
        <v>56</v>
      </c>
      <c r="F6" s="43"/>
      <c r="G6" s="43">
        <f>$C$11*G4</f>
        <v>120000</v>
      </c>
      <c r="H6" s="43">
        <f>$C$11*H4</f>
        <v>128400</v>
      </c>
      <c r="I6" s="43">
        <f>$C$11*I4</f>
        <v>137388</v>
      </c>
      <c r="J6" s="43">
        <f>$C$11*J4</f>
        <v>147005.16</v>
      </c>
      <c r="K6" s="43">
        <f>$C$11*K4</f>
        <v>157295.52119999999</v>
      </c>
      <c r="M6" s="39" t="s">
        <v>9</v>
      </c>
      <c r="N6" s="43">
        <f>MIN('Monte Carlo Cash Flows'!$C$34:$C$333)</f>
        <v>-537945.21240020823</v>
      </c>
      <c r="O6" s="80" t="s">
        <v>8</v>
      </c>
      <c r="P6" s="81"/>
      <c r="Q6" s="45">
        <f>1-_xlfn.NORM.DIST(R6,$N$7,$N$8,TRUE)</f>
        <v>0.92357236618568084</v>
      </c>
      <c r="R6" s="43">
        <v>200000</v>
      </c>
    </row>
    <row r="7" spans="2:21" x14ac:dyDescent="0.25">
      <c r="B7" s="30" t="s">
        <v>82</v>
      </c>
      <c r="C7" s="34">
        <v>7.0000000000000007E-2</v>
      </c>
      <c r="E7" s="39" t="s">
        <v>41</v>
      </c>
      <c r="F7" s="43"/>
      <c r="G7" s="43">
        <f>$C$25*$C$24*(G4/$C$6)</f>
        <v>252000</v>
      </c>
      <c r="H7" s="43">
        <f>$C$25*$C$24*(H4/$C$6)</f>
        <v>269640</v>
      </c>
      <c r="I7" s="43">
        <f>$C$25*$C$24*(I4/$C$6)</f>
        <v>288514.8</v>
      </c>
      <c r="J7" s="43">
        <f>$C$25*$C$24*(J4/$C$6)</f>
        <v>308710.83600000001</v>
      </c>
      <c r="K7" s="43">
        <f>$C$25*$C$24*(K4/$C$6)</f>
        <v>330320.59451999998</v>
      </c>
      <c r="M7" s="39" t="s">
        <v>11</v>
      </c>
      <c r="N7" s="43">
        <f>AVERAGE('Monte Carlo Cash Flows'!$C$34:$C$333)</f>
        <v>589269.6271272219</v>
      </c>
      <c r="O7" s="80" t="s">
        <v>8</v>
      </c>
      <c r="P7" s="81"/>
      <c r="Q7" s="45">
        <f>1-_xlfn.NORM.DIST(R7,$N$7,$N$8,TRUE)</f>
        <v>0.62847826655961958</v>
      </c>
      <c r="R7" s="43">
        <v>500000</v>
      </c>
    </row>
    <row r="8" spans="2:21" x14ac:dyDescent="0.25">
      <c r="B8" s="30" t="s">
        <v>104</v>
      </c>
      <c r="C8" s="27">
        <v>5</v>
      </c>
      <c r="E8" s="39" t="s">
        <v>48</v>
      </c>
      <c r="F8" s="43"/>
      <c r="G8" s="43">
        <f>C19*(C22-C21)</f>
        <v>140000</v>
      </c>
      <c r="H8" s="43">
        <f>G8*(1-$C$20)</f>
        <v>119000</v>
      </c>
      <c r="I8" s="43">
        <f>H8*(1-$C$20)</f>
        <v>101150</v>
      </c>
      <c r="J8" s="43">
        <f>I8*(1-$C$20)</f>
        <v>85977.5</v>
      </c>
      <c r="K8" s="43">
        <f>J8*(1-$C$20)</f>
        <v>73080.875</v>
      </c>
      <c r="M8" s="39" t="s">
        <v>3</v>
      </c>
      <c r="N8" s="43">
        <f>_xlfn.STDEV.S('Monte Carlo Cash Flows'!$C$34:$C$333)</f>
        <v>272308.21629939484</v>
      </c>
      <c r="O8" s="80" t="s">
        <v>8</v>
      </c>
      <c r="P8" s="81"/>
      <c r="Q8" s="45">
        <f>1-_xlfn.NORM.DIST(R8,$N$7,$N$8,TRUE)</f>
        <v>0.12691456267463974</v>
      </c>
      <c r="R8" s="43">
        <v>900000</v>
      </c>
    </row>
    <row r="9" spans="2:21" x14ac:dyDescent="0.25">
      <c r="B9" s="30" t="s">
        <v>83</v>
      </c>
      <c r="C9" s="56">
        <v>350000</v>
      </c>
      <c r="E9" s="39" t="s">
        <v>47</v>
      </c>
      <c r="F9" s="43"/>
      <c r="G9" s="43">
        <f>$C$9</f>
        <v>350000</v>
      </c>
      <c r="H9" s="43">
        <f>$C$9</f>
        <v>350000</v>
      </c>
      <c r="I9" s="43">
        <f>$C$9</f>
        <v>350000</v>
      </c>
      <c r="J9" s="43">
        <f>$C$9</f>
        <v>350000</v>
      </c>
      <c r="K9" s="43">
        <f>$C$9</f>
        <v>350000</v>
      </c>
    </row>
    <row r="10" spans="2:21" x14ac:dyDescent="0.25">
      <c r="B10" s="30" t="s">
        <v>84</v>
      </c>
      <c r="C10" s="57">
        <v>0.55000000000000004</v>
      </c>
      <c r="E10" s="39" t="s">
        <v>59</v>
      </c>
      <c r="F10" s="43"/>
      <c r="G10" s="43">
        <f>$C$27</f>
        <v>1040000</v>
      </c>
      <c r="H10" s="43">
        <f>$C$27</f>
        <v>1040000</v>
      </c>
      <c r="I10" s="43">
        <f>$C$27</f>
        <v>1040000</v>
      </c>
      <c r="J10" s="43">
        <f>$C$27</f>
        <v>1040000</v>
      </c>
      <c r="K10" s="43">
        <f>$C$27</f>
        <v>1040000</v>
      </c>
    </row>
    <row r="11" spans="2:21" ht="15.75" thickBot="1" x14ac:dyDescent="0.3">
      <c r="B11" s="30" t="s">
        <v>85</v>
      </c>
      <c r="C11" s="57">
        <v>0.03</v>
      </c>
      <c r="E11" s="40" t="s">
        <v>45</v>
      </c>
      <c r="F11" s="43"/>
      <c r="G11" s="43"/>
      <c r="H11" s="43"/>
      <c r="I11" s="43"/>
      <c r="J11" s="43"/>
      <c r="K11" s="43"/>
      <c r="M11" s="82" t="s">
        <v>99</v>
      </c>
      <c r="N11" s="83"/>
      <c r="O11" s="83"/>
      <c r="P11" s="83"/>
      <c r="Q11" s="83"/>
      <c r="R11" s="83"/>
    </row>
    <row r="12" spans="2:21" ht="15.75" thickBot="1" x14ac:dyDescent="0.3">
      <c r="B12" s="30" t="s">
        <v>79</v>
      </c>
      <c r="C12" s="56">
        <v>75000</v>
      </c>
      <c r="F12" s="42" t="s">
        <v>46</v>
      </c>
      <c r="G12" s="43">
        <f>G4-SUM(G5:G6)+G7-G8-G9-G10</f>
        <v>402000</v>
      </c>
      <c r="H12" s="43">
        <f t="shared" ref="H12:K12" si="0">H4-SUM(H5:H6)+H7-H8-H9-H10</f>
        <v>558240</v>
      </c>
      <c r="I12" s="43">
        <f t="shared" si="0"/>
        <v>720796.79999999981</v>
      </c>
      <c r="J12" s="43">
        <f t="shared" si="0"/>
        <v>890805.57599999988</v>
      </c>
      <c r="K12" s="43">
        <f t="shared" si="0"/>
        <v>1069377.0163199999</v>
      </c>
      <c r="M12" s="89" t="s">
        <v>17</v>
      </c>
      <c r="N12" s="90"/>
      <c r="O12" s="38" t="s">
        <v>16</v>
      </c>
      <c r="P12" s="38"/>
      <c r="Q12" s="38" t="s">
        <v>14</v>
      </c>
      <c r="R12" s="38" t="s">
        <v>15</v>
      </c>
    </row>
    <row r="13" spans="2:21" ht="15.75" thickTop="1" x14ac:dyDescent="0.25">
      <c r="B13" s="30" t="s">
        <v>108</v>
      </c>
      <c r="C13" s="27">
        <v>5</v>
      </c>
      <c r="F13" s="38" t="s">
        <v>44</v>
      </c>
      <c r="G13" s="43">
        <f>G12*(1-$C$23)</f>
        <v>249240</v>
      </c>
      <c r="H13" s="43">
        <f>H12*(1-$C$23)</f>
        <v>346108.8</v>
      </c>
      <c r="I13" s="43">
        <f>I12*(1-$C$23)</f>
        <v>446894.01599999989</v>
      </c>
      <c r="J13" s="43">
        <f>J12*(1-$C$23)</f>
        <v>552299.45711999992</v>
      </c>
      <c r="K13" s="43">
        <f>K12*(1-$C$23)</f>
        <v>663013.75011839997</v>
      </c>
      <c r="M13" s="33" t="s">
        <v>13</v>
      </c>
      <c r="N13" s="33">
        <v>300</v>
      </c>
      <c r="O13" s="87" t="s">
        <v>66</v>
      </c>
      <c r="P13" s="88"/>
      <c r="Q13" s="45">
        <f>_xlfn.NORM.DIST(R13,$N$16,$N$17,TRUE)</f>
        <v>1.4595463221309975E-2</v>
      </c>
      <c r="R13" s="45">
        <v>0.08</v>
      </c>
    </row>
    <row r="14" spans="2:21" x14ac:dyDescent="0.25">
      <c r="B14" s="30" t="s">
        <v>86</v>
      </c>
      <c r="C14" s="57">
        <v>0.08</v>
      </c>
      <c r="M14" s="39" t="s">
        <v>100</v>
      </c>
      <c r="N14" s="45">
        <f>MAX('Monte Carlo Cash Flows'!$B$34:$B$333)</f>
        <v>0.16670797680906424</v>
      </c>
      <c r="O14" s="80" t="s">
        <v>67</v>
      </c>
      <c r="P14" s="81"/>
      <c r="Q14" s="45">
        <f>1-_xlfn.NORM.DIST(R14,$N$16,$N$17,TRUE)</f>
        <v>0.98540453677869</v>
      </c>
      <c r="R14" s="45">
        <v>0.08</v>
      </c>
    </row>
    <row r="15" spans="2:21" x14ac:dyDescent="0.25">
      <c r="B15" s="30" t="s">
        <v>87</v>
      </c>
      <c r="C15" s="63">
        <v>5500000</v>
      </c>
      <c r="M15" s="39" t="s">
        <v>101</v>
      </c>
      <c r="N15" s="45">
        <f>MIN('Monte Carlo Cash Flows'!$B$34:$B$333)</f>
        <v>4.5869335948052425E-2</v>
      </c>
      <c r="O15" s="80" t="s">
        <v>67</v>
      </c>
      <c r="P15" s="81"/>
      <c r="Q15" s="45">
        <f>1-_xlfn.NORM.DIST(R15,$N$16,$N$17,TRUE)</f>
        <v>0.42645668358015798</v>
      </c>
      <c r="R15" s="45">
        <v>0.12</v>
      </c>
    </row>
    <row r="16" spans="2:21" x14ac:dyDescent="0.25">
      <c r="B16" s="30" t="s">
        <v>88</v>
      </c>
      <c r="C16" s="63">
        <v>300000</v>
      </c>
      <c r="M16" s="39" t="s">
        <v>102</v>
      </c>
      <c r="N16" s="45">
        <f>AVERAGE('Monte Carlo Cash Flows'!$B$34:$B$333)</f>
        <v>0.11686595274262271</v>
      </c>
      <c r="O16" s="80" t="s">
        <v>67</v>
      </c>
      <c r="P16" s="81"/>
      <c r="Q16" s="45">
        <f>1-_xlfn.NORM.DIST(R16,$N$16,$N$17,TRUE)</f>
        <v>2.4990404610544803E-2</v>
      </c>
      <c r="R16" s="45">
        <v>0.15</v>
      </c>
    </row>
    <row r="17" spans="1:18" x14ac:dyDescent="0.25">
      <c r="B17" s="30" t="s">
        <v>78</v>
      </c>
      <c r="C17" s="63">
        <v>150000</v>
      </c>
      <c r="E17" s="85" t="s">
        <v>42</v>
      </c>
      <c r="F17" s="86"/>
      <c r="G17" s="86"/>
      <c r="H17" s="86"/>
      <c r="I17" s="86"/>
      <c r="J17" s="86"/>
      <c r="K17" s="86"/>
      <c r="M17" s="39" t="s">
        <v>3</v>
      </c>
      <c r="N17" s="45">
        <f>_xlfn.STDEV.S('Monte Carlo Cash Flows'!$B$34:$B$333)</f>
        <v>1.6904020586757822E-2</v>
      </c>
      <c r="O17" s="80" t="s">
        <v>67</v>
      </c>
      <c r="P17" s="81"/>
      <c r="Q17" s="45">
        <f>1-_xlfn.NORM.DIST(R17,$N$16,$N$17,TRUE)</f>
        <v>4.3715478736938707E-7</v>
      </c>
      <c r="R17" s="45">
        <v>0.2</v>
      </c>
    </row>
    <row r="18" spans="1:18" x14ac:dyDescent="0.25">
      <c r="B18" s="30" t="s">
        <v>89</v>
      </c>
      <c r="C18" s="63">
        <v>25000</v>
      </c>
      <c r="E18" s="38" t="s">
        <v>44</v>
      </c>
      <c r="F18" s="43"/>
      <c r="G18" s="43">
        <f>G13</f>
        <v>249240</v>
      </c>
      <c r="H18" s="43">
        <f>H13</f>
        <v>346108.8</v>
      </c>
      <c r="I18" s="43">
        <f>I13</f>
        <v>446894.01599999989</v>
      </c>
      <c r="J18" s="43">
        <f>J13</f>
        <v>552299.45711999992</v>
      </c>
      <c r="K18" s="43">
        <f>K13</f>
        <v>663013.75011839997</v>
      </c>
    </row>
    <row r="19" spans="1:18" x14ac:dyDescent="0.25">
      <c r="B19" s="30" t="s">
        <v>91</v>
      </c>
      <c r="C19" s="27">
        <v>10000</v>
      </c>
      <c r="E19" s="38" t="s">
        <v>59</v>
      </c>
      <c r="F19" s="43"/>
      <c r="G19" s="43">
        <f>G10</f>
        <v>1040000</v>
      </c>
      <c r="H19" s="43">
        <f>H10</f>
        <v>1040000</v>
      </c>
      <c r="I19" s="43">
        <f>I10</f>
        <v>1040000</v>
      </c>
      <c r="J19" s="43">
        <f>J10</f>
        <v>1040000</v>
      </c>
      <c r="K19" s="43">
        <f>K10</f>
        <v>1040000</v>
      </c>
    </row>
    <row r="20" spans="1:18" x14ac:dyDescent="0.25">
      <c r="B20" s="30" t="s">
        <v>92</v>
      </c>
      <c r="C20" s="57">
        <v>0.15</v>
      </c>
      <c r="E20" s="38" t="s">
        <v>42</v>
      </c>
      <c r="F20" s="43"/>
      <c r="G20" s="43">
        <f>G18+G19</f>
        <v>1289240</v>
      </c>
      <c r="H20" s="43">
        <f t="shared" ref="H20:K20" si="1">H18+H19</f>
        <v>1386108.8</v>
      </c>
      <c r="I20" s="43">
        <f t="shared" si="1"/>
        <v>1486894.0159999998</v>
      </c>
      <c r="J20" s="43">
        <f t="shared" si="1"/>
        <v>1592299.4571199999</v>
      </c>
      <c r="K20" s="43">
        <f t="shared" si="1"/>
        <v>1703013.7501184</v>
      </c>
    </row>
    <row r="21" spans="1:18" x14ac:dyDescent="0.25">
      <c r="B21" s="30" t="s">
        <v>93</v>
      </c>
      <c r="C21" s="56">
        <v>16</v>
      </c>
    </row>
    <row r="22" spans="1:18" x14ac:dyDescent="0.25">
      <c r="B22" s="30" t="s">
        <v>94</v>
      </c>
      <c r="C22" s="63">
        <v>30</v>
      </c>
    </row>
    <row r="23" spans="1:18" x14ac:dyDescent="0.25">
      <c r="B23" s="30" t="s">
        <v>95</v>
      </c>
      <c r="C23" s="57">
        <v>0.38</v>
      </c>
      <c r="E23" s="85" t="s">
        <v>43</v>
      </c>
      <c r="F23" s="86"/>
      <c r="G23" s="86"/>
      <c r="H23" s="86"/>
      <c r="I23" s="86"/>
      <c r="J23" s="86"/>
      <c r="K23" s="86"/>
    </row>
    <row r="24" spans="1:18" x14ac:dyDescent="0.25">
      <c r="B24" s="31" t="s">
        <v>96</v>
      </c>
      <c r="C24" s="57">
        <v>0.35</v>
      </c>
      <c r="E24" s="38" t="s">
        <v>75</v>
      </c>
      <c r="F24" s="43">
        <f>-C15</f>
        <v>-5500000</v>
      </c>
      <c r="G24" s="43"/>
      <c r="H24" s="43"/>
      <c r="I24" s="43"/>
      <c r="J24" s="43"/>
      <c r="K24" s="43"/>
    </row>
    <row r="25" spans="1:18" x14ac:dyDescent="0.25">
      <c r="B25" s="32" t="s">
        <v>97</v>
      </c>
      <c r="C25" s="63">
        <v>9</v>
      </c>
      <c r="E25" s="38" t="s">
        <v>40</v>
      </c>
      <c r="F25" s="43">
        <f>-C18</f>
        <v>-25000</v>
      </c>
      <c r="G25" s="43"/>
      <c r="H25" s="43"/>
      <c r="I25" s="43"/>
      <c r="J25" s="43"/>
      <c r="K25" s="43">
        <v>25000</v>
      </c>
    </row>
    <row r="26" spans="1:18" x14ac:dyDescent="0.25">
      <c r="B26" s="30" t="s">
        <v>98</v>
      </c>
      <c r="C26" s="58">
        <f>AVERAGE(G28:K28)</f>
        <v>1556511.2046476798</v>
      </c>
      <c r="E26" s="38" t="s">
        <v>42</v>
      </c>
      <c r="F26" s="43"/>
      <c r="G26" s="43">
        <f>G20</f>
        <v>1289240</v>
      </c>
      <c r="H26" s="43">
        <f t="shared" ref="H26:K26" si="2">H20</f>
        <v>1386108.8</v>
      </c>
      <c r="I26" s="43">
        <f t="shared" si="2"/>
        <v>1486894.0159999998</v>
      </c>
      <c r="J26" s="43">
        <f t="shared" si="2"/>
        <v>1592299.4571199999</v>
      </c>
      <c r="K26" s="43">
        <f t="shared" si="2"/>
        <v>1703013.7501184</v>
      </c>
    </row>
    <row r="27" spans="1:18" x14ac:dyDescent="0.25">
      <c r="B27" s="30" t="s">
        <v>90</v>
      </c>
      <c r="C27" s="63">
        <f>(C15-C16)/C8</f>
        <v>1040000</v>
      </c>
      <c r="E27" s="38" t="s">
        <v>39</v>
      </c>
      <c r="F27" s="43"/>
      <c r="G27" s="43"/>
      <c r="H27" s="43"/>
      <c r="I27" s="43"/>
      <c r="J27" s="43"/>
      <c r="K27" s="43">
        <f>C16</f>
        <v>300000</v>
      </c>
      <c r="L27" s="25" t="s">
        <v>109</v>
      </c>
    </row>
    <row r="28" spans="1:18" ht="15.75" thickBot="1" x14ac:dyDescent="0.3">
      <c r="E28" s="35" t="s">
        <v>43</v>
      </c>
      <c r="F28" s="44">
        <f>SUM(F24:F27)</f>
        <v>-5525000</v>
      </c>
      <c r="G28" s="44">
        <f t="shared" ref="G28:K28" si="3">SUM(G24:G27)</f>
        <v>1289240</v>
      </c>
      <c r="H28" s="44">
        <f>SUM(H24:H27)</f>
        <v>1386108.8</v>
      </c>
      <c r="I28" s="44">
        <f t="shared" si="3"/>
        <v>1486894.0159999998</v>
      </c>
      <c r="J28" s="44">
        <f t="shared" si="3"/>
        <v>1592299.4571199999</v>
      </c>
      <c r="K28" s="44">
        <f t="shared" si="3"/>
        <v>2028013.7501184</v>
      </c>
    </row>
    <row r="29" spans="1:18" x14ac:dyDescent="0.25">
      <c r="E29" s="24"/>
      <c r="F29" s="24"/>
      <c r="G29" s="24"/>
      <c r="H29" s="24"/>
      <c r="I29" s="24"/>
      <c r="J29" s="24"/>
      <c r="K29" s="24"/>
    </row>
    <row r="32" spans="1:18" ht="15.75" thickBot="1" x14ac:dyDescent="0.3">
      <c r="A32" s="84" t="s">
        <v>105</v>
      </c>
      <c r="B32" s="84"/>
      <c r="C32" s="84"/>
      <c r="D32" s="84"/>
      <c r="E32" s="84"/>
      <c r="F32" s="84"/>
      <c r="G32" s="84"/>
      <c r="H32" s="84"/>
      <c r="I32" s="84"/>
    </row>
    <row r="33" spans="1:12" ht="15.75" x14ac:dyDescent="0.3">
      <c r="A33" s="33" t="s">
        <v>72</v>
      </c>
      <c r="B33" s="38" t="s">
        <v>54</v>
      </c>
      <c r="C33" s="38" t="s">
        <v>1</v>
      </c>
      <c r="D33" s="39" t="s">
        <v>70</v>
      </c>
      <c r="E33" s="39" t="s">
        <v>7</v>
      </c>
      <c r="F33" s="39" t="s">
        <v>6</v>
      </c>
      <c r="G33" s="39" t="s">
        <v>5</v>
      </c>
      <c r="H33" s="39" t="s">
        <v>4</v>
      </c>
      <c r="I33" s="39" t="s">
        <v>71</v>
      </c>
      <c r="J33" s="26" t="s">
        <v>2</v>
      </c>
      <c r="K33" s="49" t="s">
        <v>54</v>
      </c>
      <c r="L33" s="49" t="s">
        <v>0</v>
      </c>
    </row>
    <row r="34" spans="1:12" x14ac:dyDescent="0.25">
      <c r="A34" s="19">
        <v>1</v>
      </c>
      <c r="B34" s="46">
        <f t="shared" ref="B34:B97" si="4">IRR(D34:I34)</f>
        <v>0.11408891160134149</v>
      </c>
      <c r="C34" s="46">
        <f t="shared" ref="C34:C97" si="5">NPV($C$14,E34:I34)+D34</f>
        <v>553886.14687056746</v>
      </c>
      <c r="D34" s="47">
        <f>$F$28</f>
        <v>-5525000</v>
      </c>
      <c r="E34">
        <v>1243075.5837103154</v>
      </c>
      <c r="F34">
        <v>1261924.0923094945</v>
      </c>
      <c r="G34">
        <v>1539747.6361343868</v>
      </c>
      <c r="H34">
        <v>1656660.5294393385</v>
      </c>
      <c r="I34">
        <v>2065871.5464310416</v>
      </c>
      <c r="J34" s="59">
        <v>0</v>
      </c>
      <c r="K34" s="60">
        <v>0</v>
      </c>
      <c r="L34" s="28">
        <v>0</v>
      </c>
    </row>
    <row r="35" spans="1:12" x14ac:dyDescent="0.25">
      <c r="A35" s="19">
        <v>2</v>
      </c>
      <c r="B35" s="46">
        <f t="shared" si="4"/>
        <v>0.12737592442797063</v>
      </c>
      <c r="C35" s="46">
        <f t="shared" si="5"/>
        <v>750486.36781368311</v>
      </c>
      <c r="D35" s="47">
        <f t="shared" ref="D35:D98" si="6">$F$28</f>
        <v>-5525000</v>
      </c>
      <c r="E35">
        <v>1541710.0448702788</v>
      </c>
      <c r="F35">
        <v>1287773.4096627715</v>
      </c>
      <c r="G35">
        <v>1357326.4752907269</v>
      </c>
      <c r="H35">
        <v>1755324.9021112579</v>
      </c>
      <c r="I35">
        <v>2022108.7077448072</v>
      </c>
      <c r="J35" s="59">
        <v>0.02</v>
      </c>
      <c r="K35" s="60">
        <v>0.02</v>
      </c>
      <c r="L35" s="28">
        <v>0</v>
      </c>
    </row>
    <row r="36" spans="1:12" x14ac:dyDescent="0.25">
      <c r="A36" s="19">
        <v>3</v>
      </c>
      <c r="B36" s="46">
        <f t="shared" si="4"/>
        <v>0.12589905915393818</v>
      </c>
      <c r="C36" s="46">
        <f t="shared" si="5"/>
        <v>744054.21017531771</v>
      </c>
      <c r="D36" s="47">
        <f t="shared" si="6"/>
        <v>-5525000</v>
      </c>
      <c r="E36">
        <v>1242425.3518419666</v>
      </c>
      <c r="F36">
        <v>1413169.0821750122</v>
      </c>
      <c r="G36">
        <v>1718623.4729436981</v>
      </c>
      <c r="H36">
        <v>1477814.5354249291</v>
      </c>
      <c r="I36">
        <v>2140163.2232414312</v>
      </c>
      <c r="J36" s="59">
        <v>0.04</v>
      </c>
      <c r="K36" s="60">
        <v>0.04</v>
      </c>
      <c r="L36" s="28">
        <v>0</v>
      </c>
    </row>
    <row r="37" spans="1:12" x14ac:dyDescent="0.25">
      <c r="A37" s="19">
        <v>4</v>
      </c>
      <c r="B37" s="46">
        <f t="shared" si="4"/>
        <v>0.11375595623501789</v>
      </c>
      <c r="C37" s="46">
        <f t="shared" si="5"/>
        <v>516317.49393860251</v>
      </c>
      <c r="D37" s="47">
        <f t="shared" si="6"/>
        <v>-5525000</v>
      </c>
      <c r="E37">
        <v>1493093.9150817087</v>
      </c>
      <c r="F37">
        <v>1278981.2106938949</v>
      </c>
      <c r="G37">
        <v>1678158.0072987415</v>
      </c>
      <c r="H37">
        <v>1351403.1847044835</v>
      </c>
      <c r="I37">
        <v>1817272.7089154404</v>
      </c>
      <c r="J37" s="59">
        <v>0.06</v>
      </c>
      <c r="K37" s="60">
        <v>0.06</v>
      </c>
      <c r="L37" s="28">
        <v>1</v>
      </c>
    </row>
    <row r="38" spans="1:12" x14ac:dyDescent="0.25">
      <c r="A38" s="19">
        <v>5</v>
      </c>
      <c r="B38" s="46">
        <f t="shared" si="4"/>
        <v>0.11197646778819759</v>
      </c>
      <c r="C38" s="46">
        <f t="shared" si="5"/>
        <v>492343.39904027525</v>
      </c>
      <c r="D38" s="47">
        <f t="shared" si="6"/>
        <v>-5525000</v>
      </c>
      <c r="E38">
        <v>1342484.4914824737</v>
      </c>
      <c r="F38">
        <v>1520869.8531432343</v>
      </c>
      <c r="G38">
        <v>1536245.2857246969</v>
      </c>
      <c r="H38">
        <v>1333251.2620728239</v>
      </c>
      <c r="I38">
        <v>1867370.4055731986</v>
      </c>
      <c r="J38" s="59">
        <v>0.08</v>
      </c>
      <c r="K38" s="60">
        <v>0.08</v>
      </c>
      <c r="L38" s="28">
        <v>3</v>
      </c>
    </row>
    <row r="39" spans="1:12" x14ac:dyDescent="0.25">
      <c r="A39" s="19">
        <v>6</v>
      </c>
      <c r="B39" s="46">
        <f t="shared" si="4"/>
        <v>0.14086288480011167</v>
      </c>
      <c r="C39" s="46">
        <f t="shared" si="5"/>
        <v>1009002.2560137408</v>
      </c>
      <c r="D39" s="47">
        <f t="shared" si="6"/>
        <v>-5525000</v>
      </c>
      <c r="E39">
        <v>1372601.3285067258</v>
      </c>
      <c r="F39">
        <v>1429322.3901995257</v>
      </c>
      <c r="G39">
        <v>1495763.4491751085</v>
      </c>
      <c r="H39">
        <v>1572314.047640336</v>
      </c>
      <c r="I39">
        <v>2489891.7893483639</v>
      </c>
      <c r="J39" s="59">
        <v>0.1</v>
      </c>
      <c r="K39" s="60">
        <v>0.1</v>
      </c>
      <c r="L39" s="28">
        <v>42</v>
      </c>
    </row>
    <row r="40" spans="1:12" x14ac:dyDescent="0.25">
      <c r="A40" s="19">
        <v>7</v>
      </c>
      <c r="B40" s="46">
        <f t="shared" si="4"/>
        <v>0.10990105505589032</v>
      </c>
      <c r="C40" s="46">
        <f t="shared" si="5"/>
        <v>479987.88626233488</v>
      </c>
      <c r="D40" s="47">
        <f t="shared" si="6"/>
        <v>-5525000</v>
      </c>
      <c r="E40">
        <v>1292780.2081266511</v>
      </c>
      <c r="F40">
        <v>1327129.4054584028</v>
      </c>
      <c r="G40">
        <v>1424352.028398396</v>
      </c>
      <c r="H40">
        <v>1454048.415686063</v>
      </c>
      <c r="I40">
        <v>2160946.7687926707</v>
      </c>
      <c r="J40" s="59">
        <v>0.12</v>
      </c>
      <c r="K40" s="60">
        <v>0.12</v>
      </c>
      <c r="L40" s="28">
        <v>122</v>
      </c>
    </row>
    <row r="41" spans="1:12" x14ac:dyDescent="0.25">
      <c r="A41" s="19">
        <v>8</v>
      </c>
      <c r="B41" s="46">
        <f t="shared" si="4"/>
        <v>9.7914103744387804E-2</v>
      </c>
      <c r="C41" s="46">
        <f t="shared" si="5"/>
        <v>286073.21890083887</v>
      </c>
      <c r="D41" s="47">
        <f t="shared" si="6"/>
        <v>-5525000</v>
      </c>
      <c r="E41">
        <v>1201449.6596693154</v>
      </c>
      <c r="F41">
        <v>1191699.050527826</v>
      </c>
      <c r="G41">
        <v>1539637.6441188911</v>
      </c>
      <c r="H41">
        <v>1588265.1067805428</v>
      </c>
      <c r="I41">
        <v>1891456.7811339265</v>
      </c>
      <c r="J41" s="59">
        <v>0.14000000000000001</v>
      </c>
      <c r="K41" s="60">
        <v>0.14000000000000001</v>
      </c>
      <c r="L41" s="28">
        <v>109</v>
      </c>
    </row>
    <row r="42" spans="1:12" x14ac:dyDescent="0.25">
      <c r="A42" s="19">
        <v>9</v>
      </c>
      <c r="B42" s="46">
        <f t="shared" si="4"/>
        <v>0.10531006272886412</v>
      </c>
      <c r="C42" s="46">
        <f t="shared" si="5"/>
        <v>402385.90967688244</v>
      </c>
      <c r="D42" s="47">
        <f t="shared" si="6"/>
        <v>-5525000</v>
      </c>
      <c r="E42">
        <v>1228084.7804449243</v>
      </c>
      <c r="F42">
        <v>1382683.3882057723</v>
      </c>
      <c r="G42">
        <v>1404214.7925196039</v>
      </c>
      <c r="H42">
        <v>1596792.1312004337</v>
      </c>
      <c r="I42">
        <v>1934284.2613628062</v>
      </c>
      <c r="J42" s="59">
        <v>0.16</v>
      </c>
      <c r="K42" s="60">
        <v>0.16</v>
      </c>
      <c r="L42" s="28">
        <v>20</v>
      </c>
    </row>
    <row r="43" spans="1:12" x14ac:dyDescent="0.25">
      <c r="A43" s="19">
        <v>10</v>
      </c>
      <c r="B43" s="46">
        <f t="shared" si="4"/>
        <v>0.12990704632307049</v>
      </c>
      <c r="C43" s="46">
        <f t="shared" si="5"/>
        <v>776939.38383497111</v>
      </c>
      <c r="D43" s="47">
        <f t="shared" si="6"/>
        <v>-5525000</v>
      </c>
      <c r="E43">
        <v>1513432.7177237812</v>
      </c>
      <c r="F43">
        <v>1339643.5978074474</v>
      </c>
      <c r="G43">
        <v>1634206.2210882138</v>
      </c>
      <c r="H43">
        <v>1657038.2539576686</v>
      </c>
      <c r="I43">
        <v>1817303.4043616252</v>
      </c>
      <c r="J43" s="59">
        <v>0.18</v>
      </c>
      <c r="K43" s="60">
        <v>0.18</v>
      </c>
      <c r="L43" s="28">
        <v>3</v>
      </c>
    </row>
    <row r="44" spans="1:12" x14ac:dyDescent="0.25">
      <c r="A44" s="19">
        <v>11</v>
      </c>
      <c r="B44" s="46">
        <f t="shared" si="4"/>
        <v>9.0883920568488819E-2</v>
      </c>
      <c r="C44" s="46">
        <f t="shared" si="5"/>
        <v>168395.18532392662</v>
      </c>
      <c r="D44" s="47">
        <f t="shared" si="6"/>
        <v>-5525000</v>
      </c>
      <c r="E44">
        <v>1344198.8321518968</v>
      </c>
      <c r="F44">
        <v>1028000.9181451201</v>
      </c>
      <c r="G44">
        <v>1568466.8071756894</v>
      </c>
      <c r="H44">
        <v>1700555.3585441676</v>
      </c>
      <c r="I44">
        <v>1575653.163210988</v>
      </c>
      <c r="J44" s="59">
        <v>0.2</v>
      </c>
      <c r="K44" s="60">
        <v>0.2</v>
      </c>
      <c r="L44" s="28">
        <v>0</v>
      </c>
    </row>
    <row r="45" spans="1:12" x14ac:dyDescent="0.25">
      <c r="A45" s="19">
        <v>12</v>
      </c>
      <c r="B45" s="46">
        <f t="shared" si="4"/>
        <v>0.12785795574578529</v>
      </c>
      <c r="C45" s="46">
        <f t="shared" si="5"/>
        <v>804763.52264703251</v>
      </c>
      <c r="D45" s="47">
        <f t="shared" si="6"/>
        <v>-5525000</v>
      </c>
      <c r="E45">
        <v>1105080.9653115086</v>
      </c>
      <c r="F45">
        <v>1286561.1100687271</v>
      </c>
      <c r="G45">
        <v>1847223.0679166093</v>
      </c>
      <c r="H45">
        <v>1625248.0035255731</v>
      </c>
      <c r="I45">
        <v>2266483.5108048618</v>
      </c>
      <c r="J45" s="59">
        <v>0.22</v>
      </c>
      <c r="K45" s="60">
        <v>0.22</v>
      </c>
      <c r="L45" s="28">
        <v>0</v>
      </c>
    </row>
    <row r="46" spans="1:12" x14ac:dyDescent="0.25">
      <c r="A46" s="19">
        <v>13</v>
      </c>
      <c r="B46" s="46">
        <f t="shared" si="4"/>
        <v>0.11636636109413945</v>
      </c>
      <c r="C46" s="46">
        <f t="shared" si="5"/>
        <v>582610.703792057</v>
      </c>
      <c r="D46" s="47">
        <f t="shared" si="6"/>
        <v>-5525000</v>
      </c>
      <c r="E46">
        <v>1199673.0754562397</v>
      </c>
      <c r="F46">
        <v>1413752.6367130373</v>
      </c>
      <c r="G46">
        <v>1563417.2357480272</v>
      </c>
      <c r="H46">
        <v>1755242.0244065588</v>
      </c>
      <c r="I46">
        <v>1841789.5028437823</v>
      </c>
      <c r="J46" s="59">
        <v>0.24</v>
      </c>
      <c r="K46" s="60">
        <v>0.24</v>
      </c>
      <c r="L46" s="28">
        <v>0</v>
      </c>
    </row>
    <row r="47" spans="1:12" x14ac:dyDescent="0.25">
      <c r="A47" s="19">
        <v>14</v>
      </c>
      <c r="B47" s="46">
        <f t="shared" si="4"/>
        <v>0.11625777913393343</v>
      </c>
      <c r="C47" s="46">
        <f t="shared" si="5"/>
        <v>579424.50408799201</v>
      </c>
      <c r="D47" s="47">
        <f t="shared" si="6"/>
        <v>-5525000</v>
      </c>
      <c r="E47">
        <v>1288786.7305780039</v>
      </c>
      <c r="F47">
        <v>1412283.3480223231</v>
      </c>
      <c r="G47">
        <v>1559006.1296010097</v>
      </c>
      <c r="H47">
        <v>1350270.8638007762</v>
      </c>
      <c r="I47">
        <v>2160234.6344411825</v>
      </c>
      <c r="J47" s="59">
        <v>0.26</v>
      </c>
      <c r="K47" s="60">
        <v>0.26</v>
      </c>
      <c r="L47" s="28">
        <v>0</v>
      </c>
    </row>
    <row r="48" spans="1:12" x14ac:dyDescent="0.25">
      <c r="A48" s="19">
        <v>15</v>
      </c>
      <c r="B48" s="46">
        <f t="shared" si="4"/>
        <v>0.12821089052106016</v>
      </c>
      <c r="C48" s="46">
        <f t="shared" si="5"/>
        <v>739405.13569498714</v>
      </c>
      <c r="D48" s="47">
        <f t="shared" si="6"/>
        <v>-5525000</v>
      </c>
      <c r="E48">
        <v>1496081.2641165196</v>
      </c>
      <c r="F48">
        <v>1547774.4117242433</v>
      </c>
      <c r="G48">
        <v>1522375.2073055655</v>
      </c>
      <c r="H48">
        <v>1475621.8573857923</v>
      </c>
      <c r="I48">
        <v>1849944.2597135538</v>
      </c>
      <c r="J48" s="59">
        <v>0.28000000000000003</v>
      </c>
      <c r="K48" s="60">
        <v>0.28000000000000003</v>
      </c>
      <c r="L48" s="28">
        <v>0</v>
      </c>
    </row>
    <row r="49" spans="1:12" x14ac:dyDescent="0.25">
      <c r="A49" s="19">
        <v>16</v>
      </c>
      <c r="B49" s="46">
        <f t="shared" si="4"/>
        <v>9.729123445358101E-2</v>
      </c>
      <c r="C49" s="46">
        <f t="shared" si="5"/>
        <v>280006.25928392448</v>
      </c>
      <c r="D49" s="47">
        <f t="shared" si="6"/>
        <v>-5525000</v>
      </c>
      <c r="E49">
        <v>1138639.955564877</v>
      </c>
      <c r="F49">
        <v>1270731.9800619767</v>
      </c>
      <c r="G49">
        <v>1364910.2968614604</v>
      </c>
      <c r="H49">
        <v>1646142.7348041043</v>
      </c>
      <c r="I49">
        <v>2009729.7458892325</v>
      </c>
      <c r="J49" s="59">
        <v>0.3</v>
      </c>
      <c r="K49" s="60">
        <v>0.3</v>
      </c>
      <c r="L49" s="28">
        <v>0</v>
      </c>
    </row>
    <row r="50" spans="1:12" ht="15.75" thickBot="1" x14ac:dyDescent="0.3">
      <c r="A50" s="19">
        <v>17</v>
      </c>
      <c r="B50" s="46">
        <f t="shared" si="4"/>
        <v>0.12944889674873084</v>
      </c>
      <c r="C50" s="46">
        <f t="shared" si="5"/>
        <v>811883.83263097983</v>
      </c>
      <c r="D50" s="47">
        <f t="shared" si="6"/>
        <v>-5525000</v>
      </c>
      <c r="E50">
        <v>1152352.2934966697</v>
      </c>
      <c r="F50">
        <v>1481223.6148508997</v>
      </c>
      <c r="G50">
        <v>1696258.7708534263</v>
      </c>
      <c r="H50">
        <v>1672491.8763394244</v>
      </c>
      <c r="I50">
        <v>2092476.1422907221</v>
      </c>
      <c r="K50" s="29" t="s">
        <v>103</v>
      </c>
      <c r="L50" s="29">
        <v>0</v>
      </c>
    </row>
    <row r="51" spans="1:12" x14ac:dyDescent="0.25">
      <c r="A51" s="19">
        <v>18</v>
      </c>
      <c r="B51" s="46">
        <f t="shared" si="4"/>
        <v>0.16670797680906424</v>
      </c>
      <c r="C51" s="46">
        <f t="shared" si="5"/>
        <v>1418282.2554074293</v>
      </c>
      <c r="D51" s="47">
        <f t="shared" si="6"/>
        <v>-5525000</v>
      </c>
      <c r="E51">
        <v>1360850.2590558876</v>
      </c>
      <c r="F51">
        <v>1819697.8661444187</v>
      </c>
      <c r="G51">
        <v>1671859.9838626394</v>
      </c>
      <c r="H51">
        <v>1712217.9227918396</v>
      </c>
      <c r="I51">
        <v>2258989.7292096037</v>
      </c>
      <c r="K51" s="48"/>
    </row>
    <row r="52" spans="1:12" ht="15.75" thickBot="1" x14ac:dyDescent="0.3">
      <c r="A52" s="19">
        <v>19</v>
      </c>
      <c r="B52" s="46">
        <f t="shared" si="4"/>
        <v>0.11730508919589222</v>
      </c>
      <c r="C52" s="46">
        <f t="shared" si="5"/>
        <v>590598.45913469233</v>
      </c>
      <c r="D52" s="47">
        <f t="shared" si="6"/>
        <v>-5525000</v>
      </c>
      <c r="E52">
        <v>1293755.9822548158</v>
      </c>
      <c r="F52">
        <v>1368933.8746780446</v>
      </c>
      <c r="G52">
        <v>1648518.4844626635</v>
      </c>
      <c r="H52">
        <v>1564877.2231507765</v>
      </c>
      <c r="I52">
        <v>1888318.0012312704</v>
      </c>
      <c r="K52" s="48"/>
    </row>
    <row r="53" spans="1:12" x14ac:dyDescent="0.25">
      <c r="A53" s="19">
        <v>20</v>
      </c>
      <c r="B53" s="46">
        <f t="shared" si="4"/>
        <v>0.10870925935394604</v>
      </c>
      <c r="C53" s="46">
        <f t="shared" si="5"/>
        <v>452357.50516607054</v>
      </c>
      <c r="D53" s="47">
        <f t="shared" si="6"/>
        <v>-5525000</v>
      </c>
      <c r="E53">
        <v>1235200.3259310825</v>
      </c>
      <c r="F53">
        <v>1550927.8572289655</v>
      </c>
      <c r="G53">
        <v>1361020.1606483022</v>
      </c>
      <c r="H53">
        <v>1455984.6162192998</v>
      </c>
      <c r="I53">
        <v>1988543.0668114321</v>
      </c>
      <c r="J53" s="26" t="s">
        <v>2</v>
      </c>
      <c r="K53" s="49" t="s">
        <v>1</v>
      </c>
      <c r="L53" s="49" t="s">
        <v>0</v>
      </c>
    </row>
    <row r="54" spans="1:12" x14ac:dyDescent="0.25">
      <c r="A54" s="19">
        <v>21</v>
      </c>
      <c r="B54" s="46">
        <f t="shared" si="4"/>
        <v>9.3314400405062337E-2</v>
      </c>
      <c r="C54" s="46">
        <f t="shared" si="5"/>
        <v>209959.51113761868</v>
      </c>
      <c r="D54" s="47">
        <f t="shared" si="6"/>
        <v>-5525000</v>
      </c>
      <c r="E54">
        <v>1205543.7500693463</v>
      </c>
      <c r="F54">
        <v>1310225.4232444135</v>
      </c>
      <c r="G54">
        <v>1375108.6883261157</v>
      </c>
      <c r="H54">
        <v>1533468.1078421427</v>
      </c>
      <c r="I54">
        <v>1875829.0473602</v>
      </c>
      <c r="J54" s="61">
        <v>-500000</v>
      </c>
      <c r="K54" s="62">
        <v>-500000</v>
      </c>
      <c r="L54" s="28">
        <v>1</v>
      </c>
    </row>
    <row r="55" spans="1:12" x14ac:dyDescent="0.25">
      <c r="A55" s="19">
        <v>22</v>
      </c>
      <c r="B55" s="46">
        <f t="shared" si="4"/>
        <v>0.1022398535454776</v>
      </c>
      <c r="C55" s="46">
        <f t="shared" si="5"/>
        <v>359625.11310196295</v>
      </c>
      <c r="D55" s="47">
        <f t="shared" si="6"/>
        <v>-5525000</v>
      </c>
      <c r="E55">
        <v>1150356.407373629</v>
      </c>
      <c r="F55">
        <v>1364710.8634040374</v>
      </c>
      <c r="G55">
        <v>1315186.7435866441</v>
      </c>
      <c r="H55">
        <v>1681660.2650543218</v>
      </c>
      <c r="I55">
        <v>2012028.1526874504</v>
      </c>
      <c r="J55" s="61">
        <v>-450000</v>
      </c>
      <c r="K55" s="62">
        <v>-450000</v>
      </c>
      <c r="L55" s="28">
        <v>0</v>
      </c>
    </row>
    <row r="56" spans="1:12" x14ac:dyDescent="0.25">
      <c r="A56" s="19">
        <v>23</v>
      </c>
      <c r="B56" s="46">
        <f t="shared" si="4"/>
        <v>0.14778385705266017</v>
      </c>
      <c r="C56" s="46">
        <f t="shared" si="5"/>
        <v>1116094.6106462814</v>
      </c>
      <c r="D56" s="47">
        <f t="shared" si="6"/>
        <v>-5525000</v>
      </c>
      <c r="E56">
        <v>1374159.2929308629</v>
      </c>
      <c r="F56">
        <v>1467601.9990156088</v>
      </c>
      <c r="G56">
        <v>1520360.3923240441</v>
      </c>
      <c r="H56">
        <v>1958216.0033643022</v>
      </c>
      <c r="I56">
        <v>2151440.73016974</v>
      </c>
      <c r="J56" s="61">
        <v>-400000</v>
      </c>
      <c r="K56" s="62">
        <v>-400000</v>
      </c>
      <c r="L56" s="28">
        <v>0</v>
      </c>
    </row>
    <row r="57" spans="1:12" x14ac:dyDescent="0.25">
      <c r="A57" s="19">
        <v>24</v>
      </c>
      <c r="B57" s="46">
        <f t="shared" si="4"/>
        <v>0.1167519908347876</v>
      </c>
      <c r="C57" s="46">
        <f t="shared" si="5"/>
        <v>598195.75762515236</v>
      </c>
      <c r="D57" s="47">
        <f t="shared" si="6"/>
        <v>-5525000</v>
      </c>
      <c r="E57">
        <v>1209179.4551396836</v>
      </c>
      <c r="F57">
        <v>1258826.2396684182</v>
      </c>
      <c r="G57">
        <v>1721504.0700378884</v>
      </c>
      <c r="H57">
        <v>1565157.2338320848</v>
      </c>
      <c r="I57">
        <v>2067817.4671889036</v>
      </c>
      <c r="J57" s="61">
        <v>-350000</v>
      </c>
      <c r="K57" s="62">
        <v>-350000</v>
      </c>
      <c r="L57" s="28">
        <v>0</v>
      </c>
    </row>
    <row r="58" spans="1:12" x14ac:dyDescent="0.25">
      <c r="A58" s="19">
        <v>25</v>
      </c>
      <c r="B58" s="46">
        <f t="shared" si="4"/>
        <v>0.10490728069092392</v>
      </c>
      <c r="C58" s="46">
        <f t="shared" si="5"/>
        <v>407561.78156913165</v>
      </c>
      <c r="D58" s="47">
        <f t="shared" si="6"/>
        <v>-5525000</v>
      </c>
      <c r="E58">
        <v>1050811.416456718</v>
      </c>
      <c r="F58">
        <v>1375836.7689342445</v>
      </c>
      <c r="G58">
        <v>1501899.2983372007</v>
      </c>
      <c r="H58">
        <v>1626024.2572535363</v>
      </c>
      <c r="I58">
        <v>2046182.6345968046</v>
      </c>
      <c r="J58" s="61">
        <v>-300000</v>
      </c>
      <c r="K58" s="62">
        <v>-300000</v>
      </c>
      <c r="L58" s="28">
        <v>0</v>
      </c>
    </row>
    <row r="59" spans="1:12" x14ac:dyDescent="0.25">
      <c r="A59" s="19">
        <v>26</v>
      </c>
      <c r="B59" s="46">
        <f t="shared" si="4"/>
        <v>0.11351195693374261</v>
      </c>
      <c r="C59" s="46">
        <f t="shared" si="5"/>
        <v>542588.5126814479</v>
      </c>
      <c r="D59" s="47">
        <f t="shared" si="6"/>
        <v>-5525000</v>
      </c>
      <c r="E59">
        <v>1287983.5330695007</v>
      </c>
      <c r="F59">
        <v>1210703.9655029108</v>
      </c>
      <c r="G59">
        <v>1544117.1328987982</v>
      </c>
      <c r="H59">
        <v>1645006.1506439825</v>
      </c>
      <c r="I59">
        <v>2060187.6024488928</v>
      </c>
      <c r="J59" s="61">
        <v>-250000</v>
      </c>
      <c r="K59" s="62">
        <v>-250000</v>
      </c>
      <c r="L59" s="28">
        <v>0</v>
      </c>
    </row>
    <row r="60" spans="1:12" x14ac:dyDescent="0.25">
      <c r="A60" s="19">
        <v>27</v>
      </c>
      <c r="B60" s="46">
        <f t="shared" si="4"/>
        <v>0.11399737252287667</v>
      </c>
      <c r="C60" s="46">
        <f t="shared" si="5"/>
        <v>540290.72075546533</v>
      </c>
      <c r="D60" s="47">
        <f t="shared" si="6"/>
        <v>-5525000</v>
      </c>
      <c r="E60">
        <v>1418890.7434744854</v>
      </c>
      <c r="F60">
        <v>1192467.1188034732</v>
      </c>
      <c r="G60">
        <v>1478668.3025434902</v>
      </c>
      <c r="H60">
        <v>1630689.7945433748</v>
      </c>
      <c r="I60">
        <v>1993487.9326615527</v>
      </c>
      <c r="J60" s="61">
        <v>-200000</v>
      </c>
      <c r="K60" s="62">
        <v>-200000</v>
      </c>
      <c r="L60" s="28">
        <v>0</v>
      </c>
    </row>
    <row r="61" spans="1:12" x14ac:dyDescent="0.25">
      <c r="A61" s="19">
        <v>28</v>
      </c>
      <c r="B61" s="46">
        <f t="shared" si="4"/>
        <v>0.10758090111733565</v>
      </c>
      <c r="C61" s="46">
        <f t="shared" si="5"/>
        <v>435835.71423485689</v>
      </c>
      <c r="D61" s="47">
        <f t="shared" si="6"/>
        <v>-5525000</v>
      </c>
      <c r="E61">
        <v>1114808.6932679964</v>
      </c>
      <c r="F61">
        <v>1563253.7841747431</v>
      </c>
      <c r="G61">
        <v>1452862.6409358983</v>
      </c>
      <c r="H61">
        <v>1708820.9600807177</v>
      </c>
      <c r="I61">
        <v>1732343.1841691826</v>
      </c>
      <c r="J61" s="61">
        <v>-150000</v>
      </c>
      <c r="K61" s="62">
        <v>-150000</v>
      </c>
      <c r="L61" s="28">
        <v>1</v>
      </c>
    </row>
    <row r="62" spans="1:12" x14ac:dyDescent="0.25">
      <c r="A62" s="19">
        <v>29</v>
      </c>
      <c r="B62" s="46">
        <f t="shared" si="4"/>
        <v>0.11056100443782713</v>
      </c>
      <c r="C62" s="46">
        <f t="shared" si="5"/>
        <v>489896.48043564148</v>
      </c>
      <c r="D62" s="47">
        <f t="shared" si="6"/>
        <v>-5525000</v>
      </c>
      <c r="E62">
        <v>1296201.8977249775</v>
      </c>
      <c r="F62">
        <v>1364768.6731610189</v>
      </c>
      <c r="G62">
        <v>1353450.6636191215</v>
      </c>
      <c r="H62">
        <v>1527383.4177570252</v>
      </c>
      <c r="I62">
        <v>2126933.4859357667</v>
      </c>
      <c r="J62" s="61">
        <v>-100000</v>
      </c>
      <c r="K62" s="62">
        <v>-100000</v>
      </c>
      <c r="L62" s="28">
        <v>0</v>
      </c>
    </row>
    <row r="63" spans="1:12" x14ac:dyDescent="0.25">
      <c r="A63" s="19">
        <v>30</v>
      </c>
      <c r="B63" s="46">
        <f t="shared" si="4"/>
        <v>0.12787478110705797</v>
      </c>
      <c r="C63" s="46">
        <f t="shared" si="5"/>
        <v>792016.21632658597</v>
      </c>
      <c r="D63" s="47">
        <f t="shared" si="6"/>
        <v>-5525000</v>
      </c>
      <c r="E63">
        <v>1311090.3828364192</v>
      </c>
      <c r="F63">
        <v>1333145.5423803742</v>
      </c>
      <c r="G63">
        <v>1319255.2544481875</v>
      </c>
      <c r="H63">
        <v>1912407.4837201051</v>
      </c>
      <c r="I63">
        <v>2214486.4481492885</v>
      </c>
      <c r="J63" s="61">
        <v>-50000</v>
      </c>
      <c r="K63" s="62">
        <v>-50000</v>
      </c>
      <c r="L63" s="28">
        <v>1</v>
      </c>
    </row>
    <row r="64" spans="1:12" x14ac:dyDescent="0.25">
      <c r="A64" s="19">
        <v>31</v>
      </c>
      <c r="B64" s="46">
        <f t="shared" si="4"/>
        <v>0.14711158953757608</v>
      </c>
      <c r="C64" s="46">
        <f t="shared" si="5"/>
        <v>1132002.8052664008</v>
      </c>
      <c r="D64" s="47">
        <f t="shared" si="6"/>
        <v>-5525000</v>
      </c>
      <c r="E64">
        <v>1279128.9200267149</v>
      </c>
      <c r="F64">
        <v>1297746.0190677117</v>
      </c>
      <c r="G64">
        <v>1844019.8275769651</v>
      </c>
      <c r="H64">
        <v>1762621.8917904198</v>
      </c>
      <c r="I64">
        <v>2351797.7518099695</v>
      </c>
      <c r="J64" s="61">
        <v>0</v>
      </c>
      <c r="K64" s="62">
        <v>0</v>
      </c>
      <c r="L64" s="28">
        <v>1</v>
      </c>
    </row>
    <row r="65" spans="1:12" x14ac:dyDescent="0.25">
      <c r="A65" s="19">
        <v>32</v>
      </c>
      <c r="B65" s="46">
        <f t="shared" si="4"/>
        <v>0.1364356901398589</v>
      </c>
      <c r="C65" s="46">
        <f t="shared" si="5"/>
        <v>882347.07044961117</v>
      </c>
      <c r="D65" s="47">
        <f t="shared" si="6"/>
        <v>-5525000</v>
      </c>
      <c r="E65">
        <v>1592485.0877071824</v>
      </c>
      <c r="F65">
        <v>1405654.1548279379</v>
      </c>
      <c r="G65">
        <v>1395965.5618876857</v>
      </c>
      <c r="H65">
        <v>1800064.8791677095</v>
      </c>
      <c r="I65">
        <v>1904892.8600500557</v>
      </c>
      <c r="J65" s="61">
        <v>50000</v>
      </c>
      <c r="K65" s="62">
        <v>50000</v>
      </c>
      <c r="L65" s="28">
        <v>1</v>
      </c>
    </row>
    <row r="66" spans="1:12" x14ac:dyDescent="0.25">
      <c r="A66" s="19">
        <v>33</v>
      </c>
      <c r="B66" s="46">
        <f t="shared" si="4"/>
        <v>9.0429295081361882E-2</v>
      </c>
      <c r="C66" s="46">
        <f t="shared" si="5"/>
        <v>167700.83988991193</v>
      </c>
      <c r="D66" s="47">
        <f t="shared" si="6"/>
        <v>-5525000</v>
      </c>
      <c r="E66">
        <v>1138049.9208771018</v>
      </c>
      <c r="F66">
        <v>1146946.4542323872</v>
      </c>
      <c r="G66">
        <v>1495648.5117821719</v>
      </c>
      <c r="H66">
        <v>1573401.8601470753</v>
      </c>
      <c r="I66">
        <v>1927520.1787354643</v>
      </c>
      <c r="J66" s="61">
        <v>100000</v>
      </c>
      <c r="K66" s="62">
        <v>100000</v>
      </c>
      <c r="L66" s="28">
        <v>3</v>
      </c>
    </row>
    <row r="67" spans="1:12" x14ac:dyDescent="0.25">
      <c r="A67" s="19">
        <v>34</v>
      </c>
      <c r="B67" s="46">
        <f t="shared" si="4"/>
        <v>0.16283029324996812</v>
      </c>
      <c r="C67" s="46">
        <f t="shared" si="5"/>
        <v>1369574.4778874796</v>
      </c>
      <c r="D67" s="47">
        <f t="shared" si="6"/>
        <v>-5525000</v>
      </c>
      <c r="E67">
        <v>1367375.2582635009</v>
      </c>
      <c r="F67">
        <v>1576830.7210828094</v>
      </c>
      <c r="G67">
        <v>1781452.9585579</v>
      </c>
      <c r="H67">
        <v>1841791.5865903497</v>
      </c>
      <c r="I67">
        <v>2216718.6892079525</v>
      </c>
      <c r="J67" s="61">
        <v>150000</v>
      </c>
      <c r="K67" s="62">
        <v>150000</v>
      </c>
      <c r="L67" s="28">
        <v>8</v>
      </c>
    </row>
    <row r="68" spans="1:12" x14ac:dyDescent="0.25">
      <c r="A68" s="19">
        <v>35</v>
      </c>
      <c r="B68" s="46">
        <f t="shared" si="4"/>
        <v>0.11736554208076599</v>
      </c>
      <c r="C68" s="46">
        <f t="shared" si="5"/>
        <v>580052.79022212978</v>
      </c>
      <c r="D68" s="47">
        <f t="shared" si="6"/>
        <v>-5525000</v>
      </c>
      <c r="E68">
        <v>1452784.6551517816</v>
      </c>
      <c r="F68">
        <v>1523641.651933725</v>
      </c>
      <c r="G68">
        <v>1234707.035355648</v>
      </c>
      <c r="H68">
        <v>1525880.5346057643</v>
      </c>
      <c r="I68">
        <v>1986365.0543743614</v>
      </c>
      <c r="J68" s="61">
        <v>200000</v>
      </c>
      <c r="K68" s="62">
        <v>200000</v>
      </c>
      <c r="L68" s="28">
        <v>9</v>
      </c>
    </row>
    <row r="69" spans="1:12" x14ac:dyDescent="0.25">
      <c r="A69" s="19">
        <v>36</v>
      </c>
      <c r="B69" s="46">
        <f t="shared" si="4"/>
        <v>0.13406449467398729</v>
      </c>
      <c r="C69" s="46">
        <f t="shared" si="5"/>
        <v>881788.00481239241</v>
      </c>
      <c r="D69" s="47">
        <f t="shared" si="6"/>
        <v>-5525000</v>
      </c>
      <c r="E69">
        <v>1266821.069288135</v>
      </c>
      <c r="F69">
        <v>1451478.5337859972</v>
      </c>
      <c r="G69">
        <v>1702195.9522666</v>
      </c>
      <c r="H69">
        <v>1589722.7994138093</v>
      </c>
      <c r="I69">
        <v>2159390.5096710995</v>
      </c>
      <c r="J69" s="61">
        <v>250000</v>
      </c>
      <c r="K69" s="62">
        <v>250000</v>
      </c>
      <c r="L69" s="28">
        <v>10</v>
      </c>
    </row>
    <row r="70" spans="1:12" x14ac:dyDescent="0.25">
      <c r="A70" s="19">
        <v>37</v>
      </c>
      <c r="B70" s="46">
        <f t="shared" si="4"/>
        <v>0.1383186155956011</v>
      </c>
      <c r="C70" s="46">
        <f t="shared" si="5"/>
        <v>941943.78290571272</v>
      </c>
      <c r="D70" s="47">
        <f t="shared" si="6"/>
        <v>-5525000</v>
      </c>
      <c r="E70">
        <v>1362966.3690098189</v>
      </c>
      <c r="F70">
        <v>1563230.5920598479</v>
      </c>
      <c r="G70">
        <v>1448135.5422234335</v>
      </c>
      <c r="H70">
        <v>1707938.6365331602</v>
      </c>
      <c r="I70">
        <v>2144862.0139313033</v>
      </c>
      <c r="J70" s="61">
        <v>300000</v>
      </c>
      <c r="K70" s="62">
        <v>300000</v>
      </c>
      <c r="L70" s="28">
        <v>10</v>
      </c>
    </row>
    <row r="71" spans="1:12" x14ac:dyDescent="0.25">
      <c r="A71" s="19">
        <v>38</v>
      </c>
      <c r="B71" s="46">
        <f t="shared" si="4"/>
        <v>0.11304885468379133</v>
      </c>
      <c r="C71" s="46">
        <f t="shared" si="5"/>
        <v>515479.4213377228</v>
      </c>
      <c r="D71" s="47">
        <f t="shared" si="6"/>
        <v>-5525000</v>
      </c>
      <c r="E71">
        <v>1509142.8585891938</v>
      </c>
      <c r="F71">
        <v>1451718.4698570087</v>
      </c>
      <c r="G71">
        <v>1117981.1210880578</v>
      </c>
      <c r="H71">
        <v>1388068.8951722705</v>
      </c>
      <c r="I71">
        <v>2190399.0494070211</v>
      </c>
      <c r="J71" s="61">
        <v>350000</v>
      </c>
      <c r="K71" s="62">
        <v>350000</v>
      </c>
      <c r="L71" s="28">
        <v>12</v>
      </c>
    </row>
    <row r="72" spans="1:12" x14ac:dyDescent="0.25">
      <c r="A72" s="19">
        <v>39</v>
      </c>
      <c r="B72" s="46">
        <f t="shared" si="4"/>
        <v>0.12669264962026139</v>
      </c>
      <c r="C72" s="46">
        <f t="shared" si="5"/>
        <v>722041.78278805688</v>
      </c>
      <c r="D72" s="47">
        <f t="shared" si="6"/>
        <v>-5525000</v>
      </c>
      <c r="E72">
        <v>1547729.080806612</v>
      </c>
      <c r="F72">
        <v>1362459.3524263797</v>
      </c>
      <c r="G72">
        <v>1498742.4422273468</v>
      </c>
      <c r="H72">
        <v>1652433.2549089168</v>
      </c>
      <c r="I72">
        <v>1824218.0652055293</v>
      </c>
      <c r="J72" s="61">
        <v>400000</v>
      </c>
      <c r="K72" s="62">
        <v>400000</v>
      </c>
      <c r="L72" s="28">
        <v>11</v>
      </c>
    </row>
    <row r="73" spans="1:12" x14ac:dyDescent="0.25">
      <c r="A73" s="19">
        <v>40</v>
      </c>
      <c r="B73" s="46">
        <f t="shared" si="4"/>
        <v>4.5869335948052425E-2</v>
      </c>
      <c r="C73" s="46">
        <f t="shared" si="5"/>
        <v>-537945.21240020823</v>
      </c>
      <c r="D73" s="47">
        <f t="shared" si="6"/>
        <v>-5525000</v>
      </c>
      <c r="E73">
        <v>981898.09340868145</v>
      </c>
      <c r="F73">
        <v>1019056.9472478852</v>
      </c>
      <c r="G73">
        <v>1277589.937917917</v>
      </c>
      <c r="H73">
        <v>1234976.721567452</v>
      </c>
      <c r="I73">
        <v>1884084.076020842</v>
      </c>
      <c r="J73" s="61">
        <v>450000</v>
      </c>
      <c r="K73" s="62">
        <v>450000</v>
      </c>
      <c r="L73" s="28">
        <v>17</v>
      </c>
    </row>
    <row r="74" spans="1:12" x14ac:dyDescent="0.25">
      <c r="A74" s="19">
        <v>41</v>
      </c>
      <c r="B74" s="46">
        <f t="shared" si="4"/>
        <v>0.11056461542063012</v>
      </c>
      <c r="C74" s="46">
        <f t="shared" si="5"/>
        <v>489047.63889186829</v>
      </c>
      <c r="D74" s="47">
        <f t="shared" si="6"/>
        <v>-5525000</v>
      </c>
      <c r="E74">
        <v>1363666.5662433463</v>
      </c>
      <c r="F74">
        <v>1332595.5823028958</v>
      </c>
      <c r="G74">
        <v>1203212.1433279533</v>
      </c>
      <c r="H74">
        <v>1661437.0819262122</v>
      </c>
      <c r="I74">
        <v>2104890.4039094094</v>
      </c>
      <c r="J74" s="61">
        <v>500000</v>
      </c>
      <c r="K74" s="62">
        <v>500000</v>
      </c>
      <c r="L74" s="28">
        <v>19</v>
      </c>
    </row>
    <row r="75" spans="1:12" x14ac:dyDescent="0.25">
      <c r="A75" s="19">
        <v>42</v>
      </c>
      <c r="B75" s="46">
        <f t="shared" si="4"/>
        <v>0.12809856796542318</v>
      </c>
      <c r="C75" s="46">
        <f t="shared" si="5"/>
        <v>755547.80250347871</v>
      </c>
      <c r="D75" s="47">
        <f t="shared" si="6"/>
        <v>-5525000</v>
      </c>
      <c r="E75">
        <v>1362927.6586415747</v>
      </c>
      <c r="F75">
        <v>1405110.3338396966</v>
      </c>
      <c r="G75">
        <v>1823187.8514328562</v>
      </c>
      <c r="H75">
        <v>1497982.8078104192</v>
      </c>
      <c r="I75">
        <v>1859515.0998339858</v>
      </c>
      <c r="J75" s="61">
        <v>550000</v>
      </c>
      <c r="K75" s="62">
        <v>550000</v>
      </c>
      <c r="L75" s="28">
        <v>19</v>
      </c>
    </row>
    <row r="76" spans="1:12" x14ac:dyDescent="0.25">
      <c r="A76" s="19">
        <v>43</v>
      </c>
      <c r="B76" s="46">
        <f t="shared" si="4"/>
        <v>0.11649692088255836</v>
      </c>
      <c r="C76" s="46">
        <f t="shared" si="5"/>
        <v>587472.99444433302</v>
      </c>
      <c r="D76" s="47">
        <f t="shared" si="6"/>
        <v>-5525000</v>
      </c>
      <c r="E76">
        <v>1261036.0008638329</v>
      </c>
      <c r="F76">
        <v>1353630.1483918247</v>
      </c>
      <c r="G76">
        <v>1457392.6066717538</v>
      </c>
      <c r="H76">
        <v>1776677.6776589695</v>
      </c>
      <c r="I76">
        <v>1941703.8622964509</v>
      </c>
      <c r="J76" s="61">
        <v>600000</v>
      </c>
      <c r="K76" s="62">
        <v>600000</v>
      </c>
      <c r="L76" s="28">
        <v>26</v>
      </c>
    </row>
    <row r="77" spans="1:12" x14ac:dyDescent="0.25">
      <c r="A77" s="19">
        <v>44</v>
      </c>
      <c r="B77" s="46">
        <f t="shared" si="4"/>
        <v>0.11674685488369452</v>
      </c>
      <c r="C77" s="46">
        <f t="shared" si="5"/>
        <v>597558.02058357745</v>
      </c>
      <c r="D77" s="47">
        <f t="shared" si="6"/>
        <v>-5525000</v>
      </c>
      <c r="E77">
        <v>1189233.8952692901</v>
      </c>
      <c r="F77">
        <v>1376216.369285397</v>
      </c>
      <c r="G77">
        <v>1505028.0169547184</v>
      </c>
      <c r="H77">
        <v>1743393.9232397252</v>
      </c>
      <c r="I77">
        <v>2006140.4250486856</v>
      </c>
      <c r="J77" s="61">
        <v>650000</v>
      </c>
      <c r="K77" s="62">
        <v>650000</v>
      </c>
      <c r="L77" s="28">
        <v>25</v>
      </c>
    </row>
    <row r="78" spans="1:12" x14ac:dyDescent="0.25">
      <c r="A78" s="19">
        <v>45</v>
      </c>
      <c r="B78" s="46">
        <f t="shared" si="4"/>
        <v>0.12035323050010538</v>
      </c>
      <c r="C78" s="46">
        <f t="shared" si="5"/>
        <v>632265.89184523746</v>
      </c>
      <c r="D78" s="47">
        <f t="shared" si="6"/>
        <v>-5525000</v>
      </c>
      <c r="E78">
        <v>1272284.5176485227</v>
      </c>
      <c r="F78">
        <v>1735693.297509864</v>
      </c>
      <c r="G78">
        <v>1412506.4851854111</v>
      </c>
      <c r="H78">
        <v>1286624.1971970312</v>
      </c>
      <c r="I78">
        <v>2092539.2384856576</v>
      </c>
      <c r="J78" s="61">
        <v>700000</v>
      </c>
      <c r="K78" s="62">
        <v>700000</v>
      </c>
      <c r="L78" s="28">
        <v>22</v>
      </c>
    </row>
    <row r="79" spans="1:12" x14ac:dyDescent="0.25">
      <c r="A79" s="19">
        <v>46</v>
      </c>
      <c r="B79" s="46">
        <f t="shared" si="4"/>
        <v>0.14681705859487537</v>
      </c>
      <c r="C79" s="46">
        <f t="shared" si="5"/>
        <v>1059235.4988410166</v>
      </c>
      <c r="D79" s="47">
        <f t="shared" si="6"/>
        <v>-5525000</v>
      </c>
      <c r="E79">
        <v>1482539.4564413093</v>
      </c>
      <c r="F79">
        <v>1590310.1146841105</v>
      </c>
      <c r="G79">
        <v>1622274.5600956548</v>
      </c>
      <c r="H79">
        <v>1516428.5540741703</v>
      </c>
      <c r="I79">
        <v>2124126.8989729332</v>
      </c>
      <c r="J79" s="61">
        <v>750000</v>
      </c>
      <c r="K79" s="62">
        <v>750000</v>
      </c>
      <c r="L79" s="28">
        <v>22</v>
      </c>
    </row>
    <row r="80" spans="1:12" x14ac:dyDescent="0.25">
      <c r="A80" s="19">
        <v>47</v>
      </c>
      <c r="B80" s="46">
        <f t="shared" si="4"/>
        <v>0.12483929956353723</v>
      </c>
      <c r="C80" s="46">
        <f t="shared" si="5"/>
        <v>714080.2195395967</v>
      </c>
      <c r="D80" s="47">
        <f t="shared" si="6"/>
        <v>-5525000</v>
      </c>
      <c r="E80">
        <v>1321942.2462442983</v>
      </c>
      <c r="F80">
        <v>1408017.3631236572</v>
      </c>
      <c r="G80">
        <v>1604115.4751932188</v>
      </c>
      <c r="H80">
        <v>1678406.206698216</v>
      </c>
      <c r="I80">
        <v>1911352.5461693979</v>
      </c>
      <c r="J80" s="61">
        <v>800000</v>
      </c>
      <c r="K80" s="62">
        <v>800000</v>
      </c>
      <c r="L80" s="28">
        <v>22</v>
      </c>
    </row>
    <row r="81" spans="1:12" x14ac:dyDescent="0.25">
      <c r="A81" s="19">
        <v>48</v>
      </c>
      <c r="B81" s="46">
        <f t="shared" si="4"/>
        <v>9.1650621924841857E-2</v>
      </c>
      <c r="C81" s="46">
        <f t="shared" si="5"/>
        <v>181576.96757728793</v>
      </c>
      <c r="D81" s="47">
        <f t="shared" si="6"/>
        <v>-5525000</v>
      </c>
      <c r="E81">
        <v>1253085.8803019603</v>
      </c>
      <c r="F81">
        <v>1342716.041440293</v>
      </c>
      <c r="G81">
        <v>1424201.7912423469</v>
      </c>
      <c r="H81">
        <v>1244256.2960096411</v>
      </c>
      <c r="I81">
        <v>1983602.9758084959</v>
      </c>
      <c r="J81" s="61">
        <v>850000</v>
      </c>
      <c r="K81" s="62">
        <v>850000</v>
      </c>
      <c r="L81" s="28">
        <v>16</v>
      </c>
    </row>
    <row r="82" spans="1:12" x14ac:dyDescent="0.25">
      <c r="A82" s="19">
        <v>49</v>
      </c>
      <c r="B82" s="46">
        <f t="shared" si="4"/>
        <v>0.1087425212756914</v>
      </c>
      <c r="C82" s="46">
        <f t="shared" si="5"/>
        <v>439330.13279621862</v>
      </c>
      <c r="D82" s="47">
        <f t="shared" si="6"/>
        <v>-5525000</v>
      </c>
      <c r="E82">
        <v>1665688.9520108327</v>
      </c>
      <c r="F82">
        <v>1192546.2448425274</v>
      </c>
      <c r="G82">
        <v>1272488.3547619972</v>
      </c>
      <c r="H82">
        <v>1374853.8234686721</v>
      </c>
      <c r="I82">
        <v>2026068.9318934209</v>
      </c>
      <c r="J82" s="61">
        <v>900000</v>
      </c>
      <c r="K82" s="62">
        <v>900000</v>
      </c>
      <c r="L82" s="28">
        <v>12</v>
      </c>
    </row>
    <row r="83" spans="1:12" x14ac:dyDescent="0.25">
      <c r="A83" s="19">
        <v>50</v>
      </c>
      <c r="B83" s="46">
        <f t="shared" si="4"/>
        <v>0.10855832918293951</v>
      </c>
      <c r="C83" s="46">
        <f t="shared" si="5"/>
        <v>447387.80229012109</v>
      </c>
      <c r="D83" s="47">
        <f t="shared" si="6"/>
        <v>-5525000</v>
      </c>
      <c r="E83">
        <v>1325713.1818081054</v>
      </c>
      <c r="F83">
        <v>1355823.3380217312</v>
      </c>
      <c r="G83">
        <v>1644098.3402120471</v>
      </c>
      <c r="H83">
        <v>1187473.8132938519</v>
      </c>
      <c r="I83">
        <v>2063683.9842996022</v>
      </c>
      <c r="J83" s="61">
        <v>950000</v>
      </c>
      <c r="K83" s="62">
        <v>950000</v>
      </c>
      <c r="L83" s="28">
        <v>8</v>
      </c>
    </row>
    <row r="84" spans="1:12" x14ac:dyDescent="0.25">
      <c r="A84" s="19">
        <v>51</v>
      </c>
      <c r="B84" s="46">
        <f t="shared" si="4"/>
        <v>0.12205129024908867</v>
      </c>
      <c r="C84" s="46">
        <f t="shared" si="5"/>
        <v>675964.32601187006</v>
      </c>
      <c r="D84" s="47">
        <f t="shared" si="6"/>
        <v>-5525000</v>
      </c>
      <c r="E84">
        <v>1355455.8754494158</v>
      </c>
      <c r="F84">
        <v>1361634.1565147773</v>
      </c>
      <c r="G84">
        <v>1462500.4994471672</v>
      </c>
      <c r="H84">
        <v>1594989.9674488707</v>
      </c>
      <c r="I84">
        <v>2123451.5991568668</v>
      </c>
      <c r="J84" s="61">
        <v>1000000</v>
      </c>
      <c r="K84" s="62">
        <v>1000000</v>
      </c>
      <c r="L84" s="28">
        <v>5</v>
      </c>
    </row>
    <row r="85" spans="1:12" ht="15.75" thickBot="1" x14ac:dyDescent="0.3">
      <c r="A85" s="19">
        <v>52</v>
      </c>
      <c r="B85" s="46">
        <f t="shared" si="4"/>
        <v>0.12753912891645491</v>
      </c>
      <c r="C85" s="46">
        <f t="shared" si="5"/>
        <v>760785.42672188673</v>
      </c>
      <c r="D85" s="47">
        <f t="shared" si="6"/>
        <v>-5525000</v>
      </c>
      <c r="E85">
        <v>1225406.4322350407</v>
      </c>
      <c r="F85">
        <v>1566379.9448384121</v>
      </c>
      <c r="G85">
        <v>1610208.1802003956</v>
      </c>
      <c r="H85">
        <v>1651985.9540459011</v>
      </c>
      <c r="I85">
        <v>1933249.8248263772</v>
      </c>
      <c r="K85" s="29" t="s">
        <v>103</v>
      </c>
      <c r="L85" s="29">
        <v>19</v>
      </c>
    </row>
    <row r="86" spans="1:12" x14ac:dyDescent="0.25">
      <c r="A86" s="19">
        <v>53</v>
      </c>
      <c r="B86" s="46">
        <f t="shared" si="4"/>
        <v>0.10236182054923337</v>
      </c>
      <c r="C86" s="46">
        <f t="shared" si="5"/>
        <v>352671.53092544246</v>
      </c>
      <c r="D86" s="47">
        <f t="shared" si="6"/>
        <v>-5525000</v>
      </c>
      <c r="E86">
        <v>1321237.4446938431</v>
      </c>
      <c r="F86">
        <v>1281556.8996893158</v>
      </c>
      <c r="G86">
        <v>1437736.4366467807</v>
      </c>
      <c r="H86">
        <v>1416711.8391888808</v>
      </c>
      <c r="I86">
        <v>2017281.6783019851</v>
      </c>
    </row>
    <row r="87" spans="1:12" x14ac:dyDescent="0.25">
      <c r="A87" s="19">
        <v>54</v>
      </c>
      <c r="B87" s="46">
        <f t="shared" si="4"/>
        <v>0.13191860709230019</v>
      </c>
      <c r="C87" s="46">
        <f t="shared" si="5"/>
        <v>796936.25233350601</v>
      </c>
      <c r="D87" s="47">
        <f t="shared" si="6"/>
        <v>-5525000</v>
      </c>
      <c r="E87">
        <v>1468476.16724147</v>
      </c>
      <c r="F87">
        <v>1652052.9815033693</v>
      </c>
      <c r="G87">
        <v>1385291.561537422</v>
      </c>
      <c r="H87">
        <v>1743469.9797341609</v>
      </c>
      <c r="I87">
        <v>1711290.2008125428</v>
      </c>
    </row>
    <row r="88" spans="1:12" x14ac:dyDescent="0.25">
      <c r="A88" s="19">
        <v>55</v>
      </c>
      <c r="B88" s="46">
        <f t="shared" si="4"/>
        <v>9.2236502075526028E-2</v>
      </c>
      <c r="C88" s="46">
        <f t="shared" si="5"/>
        <v>202556.79014621768</v>
      </c>
      <c r="D88" s="47">
        <f t="shared" si="6"/>
        <v>-5525000</v>
      </c>
      <c r="E88">
        <v>957066.15956617519</v>
      </c>
      <c r="F88">
        <v>1250331.4454670213</v>
      </c>
      <c r="G88">
        <v>1515144.7244264707</v>
      </c>
      <c r="H88">
        <v>1501094.6439325353</v>
      </c>
      <c r="I88">
        <v>2150077.5112986201</v>
      </c>
    </row>
    <row r="89" spans="1:12" x14ac:dyDescent="0.25">
      <c r="A89" s="19">
        <v>56</v>
      </c>
      <c r="B89" s="46">
        <f t="shared" si="4"/>
        <v>0.14454502940337277</v>
      </c>
      <c r="C89" s="46">
        <f t="shared" si="5"/>
        <v>1073634.0423170803</v>
      </c>
      <c r="D89" s="47">
        <f t="shared" si="6"/>
        <v>-5525000</v>
      </c>
      <c r="E89">
        <v>1301629.7052617394</v>
      </c>
      <c r="F89">
        <v>1434649.4143546475</v>
      </c>
      <c r="G89">
        <v>1655479.1884758449</v>
      </c>
      <c r="H89">
        <v>1732491.2418153845</v>
      </c>
      <c r="I89">
        <v>2315418.8732337542</v>
      </c>
    </row>
    <row r="90" spans="1:12" x14ac:dyDescent="0.25">
      <c r="A90" s="19">
        <v>57</v>
      </c>
      <c r="B90" s="46">
        <f t="shared" si="4"/>
        <v>0.11491710332848815</v>
      </c>
      <c r="C90" s="46">
        <f t="shared" si="5"/>
        <v>541003.2177263787</v>
      </c>
      <c r="D90" s="47">
        <f t="shared" si="6"/>
        <v>-5525000</v>
      </c>
      <c r="E90">
        <v>1402820.654215184</v>
      </c>
      <c r="F90">
        <v>1489668.6142173745</v>
      </c>
      <c r="G90">
        <v>1377353.2075632536</v>
      </c>
      <c r="H90">
        <v>1502869.181782532</v>
      </c>
      <c r="I90">
        <v>1898229.9018648672</v>
      </c>
    </row>
    <row r="91" spans="1:12" x14ac:dyDescent="0.25">
      <c r="A91" s="19">
        <v>58</v>
      </c>
      <c r="B91" s="46">
        <f t="shared" si="4"/>
        <v>0.11689861090263753</v>
      </c>
      <c r="C91" s="46">
        <f t="shared" si="5"/>
        <v>599990.14040169865</v>
      </c>
      <c r="D91" s="47">
        <f t="shared" si="6"/>
        <v>-5525000</v>
      </c>
      <c r="E91">
        <v>1315565.7788901683</v>
      </c>
      <c r="F91">
        <v>1228247.4361790842</v>
      </c>
      <c r="G91">
        <v>1571974.955614103</v>
      </c>
      <c r="H91">
        <v>1472522.2994421502</v>
      </c>
      <c r="I91">
        <v>2238693.5591316768</v>
      </c>
    </row>
    <row r="92" spans="1:12" x14ac:dyDescent="0.25">
      <c r="A92" s="19">
        <v>59</v>
      </c>
      <c r="B92" s="46">
        <f t="shared" si="4"/>
        <v>9.0980586990005774E-2</v>
      </c>
      <c r="C92" s="46">
        <f t="shared" si="5"/>
        <v>169228.35273172799</v>
      </c>
      <c r="D92" s="47">
        <f t="shared" si="6"/>
        <v>-5525000</v>
      </c>
      <c r="E92">
        <v>1229615.2894977515</v>
      </c>
      <c r="F92">
        <v>1453008.7017783113</v>
      </c>
      <c r="G92">
        <v>1304237.6779325129</v>
      </c>
      <c r="H92">
        <v>1452177.6987713538</v>
      </c>
      <c r="I92">
        <v>1773824.328022344</v>
      </c>
    </row>
    <row r="93" spans="1:12" x14ac:dyDescent="0.25">
      <c r="A93" s="19">
        <v>60</v>
      </c>
      <c r="B93" s="46">
        <f t="shared" si="4"/>
        <v>0.12608011710091893</v>
      </c>
      <c r="C93" s="46">
        <f t="shared" si="5"/>
        <v>737628.13443029951</v>
      </c>
      <c r="D93" s="47">
        <f t="shared" si="6"/>
        <v>-5525000</v>
      </c>
      <c r="E93">
        <v>1458799.5983619569</v>
      </c>
      <c r="F93">
        <v>1353806.1356166177</v>
      </c>
      <c r="G93">
        <v>1369438.8983552633</v>
      </c>
      <c r="H93">
        <v>1612168.1623154446</v>
      </c>
      <c r="I93">
        <v>2173313.6230000281</v>
      </c>
    </row>
    <row r="94" spans="1:12" x14ac:dyDescent="0.25">
      <c r="A94" s="19">
        <v>61</v>
      </c>
      <c r="B94" s="46">
        <f t="shared" si="4"/>
        <v>9.0311093741027193E-2</v>
      </c>
      <c r="C94" s="46">
        <f t="shared" si="5"/>
        <v>162732.77403778769</v>
      </c>
      <c r="D94" s="47">
        <f t="shared" si="6"/>
        <v>-5525000</v>
      </c>
      <c r="E94">
        <v>1189620.657891219</v>
      </c>
      <c r="F94">
        <v>1374179.8969612897</v>
      </c>
      <c r="G94">
        <v>1217625.3606142998</v>
      </c>
      <c r="H94">
        <v>1540737.6421499948</v>
      </c>
      <c r="I94">
        <v>1923373.9060769193</v>
      </c>
    </row>
    <row r="95" spans="1:12" x14ac:dyDescent="0.25">
      <c r="A95" s="19">
        <v>62</v>
      </c>
      <c r="B95" s="46">
        <f t="shared" si="4"/>
        <v>0.10066230396112874</v>
      </c>
      <c r="C95" s="46">
        <f t="shared" si="5"/>
        <v>332543.31647808384</v>
      </c>
      <c r="D95" s="47">
        <f t="shared" si="6"/>
        <v>-5525000</v>
      </c>
      <c r="E95">
        <v>1151462.4666178226</v>
      </c>
      <c r="F95">
        <v>1279602.2818883681</v>
      </c>
      <c r="G95">
        <v>1526542.9667764399</v>
      </c>
      <c r="H95">
        <v>1538345.1026501434</v>
      </c>
      <c r="I95">
        <v>1986198.1052531672</v>
      </c>
    </row>
    <row r="96" spans="1:12" x14ac:dyDescent="0.25">
      <c r="A96" s="19">
        <v>63</v>
      </c>
      <c r="B96" s="46">
        <f t="shared" si="4"/>
        <v>0.10790658103342965</v>
      </c>
      <c r="C96" s="46">
        <f t="shared" si="5"/>
        <v>437231.18963886611</v>
      </c>
      <c r="D96" s="47">
        <f t="shared" si="6"/>
        <v>-5525000</v>
      </c>
      <c r="E96">
        <v>1435681.1525375908</v>
      </c>
      <c r="F96">
        <v>1311201.8794936044</v>
      </c>
      <c r="G96">
        <v>1199344.5171086639</v>
      </c>
      <c r="H96">
        <v>1704448.2232414312</v>
      </c>
      <c r="I96">
        <v>1915789.0613246462</v>
      </c>
    </row>
    <row r="97" spans="1:9" x14ac:dyDescent="0.25">
      <c r="A97" s="19">
        <v>64</v>
      </c>
      <c r="B97" s="46">
        <f t="shared" si="4"/>
        <v>0.11155855055327457</v>
      </c>
      <c r="C97" s="46">
        <f t="shared" si="5"/>
        <v>505285.98423255235</v>
      </c>
      <c r="D97" s="47">
        <f t="shared" si="6"/>
        <v>-5525000</v>
      </c>
      <c r="E97">
        <v>1099645.8249737136</v>
      </c>
      <c r="F97">
        <v>1605776.52683511</v>
      </c>
      <c r="G97">
        <v>1388757.5890024598</v>
      </c>
      <c r="H97">
        <v>1702725.5265894355</v>
      </c>
      <c r="I97">
        <v>1882806.1222780133</v>
      </c>
    </row>
    <row r="98" spans="1:9" x14ac:dyDescent="0.25">
      <c r="A98" s="19">
        <v>65</v>
      </c>
      <c r="B98" s="46">
        <f t="shared" ref="B98:B161" si="7">IRR(D98:I98)</f>
        <v>0.11755390060965243</v>
      </c>
      <c r="C98" s="46">
        <f t="shared" ref="C98:C161" si="8">NPV($C$14,E98:I98)+D98</f>
        <v>606877.94329430815</v>
      </c>
      <c r="D98" s="47">
        <f t="shared" si="6"/>
        <v>-5525000</v>
      </c>
      <c r="E98">
        <v>1279692.3519944632</v>
      </c>
      <c r="F98">
        <v>1236210.1759799439</v>
      </c>
      <c r="G98">
        <v>1710005.5558970487</v>
      </c>
      <c r="H98">
        <v>1516988.7459670436</v>
      </c>
      <c r="I98">
        <v>2078565.9892612938</v>
      </c>
    </row>
    <row r="99" spans="1:9" x14ac:dyDescent="0.25">
      <c r="A99" s="19">
        <v>66</v>
      </c>
      <c r="B99" s="46">
        <f t="shared" si="7"/>
        <v>0.16001632235029883</v>
      </c>
      <c r="C99" s="46">
        <f t="shared" si="8"/>
        <v>1325072.3609579187</v>
      </c>
      <c r="D99" s="47">
        <f t="shared" ref="D99:D162" si="9">$F$28</f>
        <v>-5525000</v>
      </c>
      <c r="E99">
        <v>1361236.3395567902</v>
      </c>
      <c r="F99">
        <v>1660718.6470218617</v>
      </c>
      <c r="G99">
        <v>1585727.8797469623</v>
      </c>
      <c r="H99">
        <v>1784471.5925058126</v>
      </c>
      <c r="I99">
        <v>2344207.1090289727</v>
      </c>
    </row>
    <row r="100" spans="1:9" x14ac:dyDescent="0.25">
      <c r="A100" s="19">
        <v>67</v>
      </c>
      <c r="B100" s="46">
        <f t="shared" si="7"/>
        <v>9.6648555215053555E-2</v>
      </c>
      <c r="C100" s="46">
        <f t="shared" si="8"/>
        <v>272016.85253478587</v>
      </c>
      <c r="D100" s="47">
        <f t="shared" si="9"/>
        <v>-5525000</v>
      </c>
      <c r="E100">
        <v>1028441.2573982356</v>
      </c>
      <c r="F100">
        <v>1283072.9136703336</v>
      </c>
      <c r="G100">
        <v>1493924.9624788933</v>
      </c>
      <c r="H100">
        <v>1638956.9308522341</v>
      </c>
      <c r="I100">
        <v>1989646.7386320336</v>
      </c>
    </row>
    <row r="101" spans="1:9" x14ac:dyDescent="0.25">
      <c r="A101" s="19">
        <v>68</v>
      </c>
      <c r="B101" s="46">
        <f t="shared" si="7"/>
        <v>0.10541845337269984</v>
      </c>
      <c r="C101" s="46">
        <f t="shared" si="8"/>
        <v>395539.06594064832</v>
      </c>
      <c r="D101" s="47">
        <f t="shared" si="9"/>
        <v>-5525000</v>
      </c>
      <c r="E101">
        <v>1342093.6361343868</v>
      </c>
      <c r="F101">
        <v>1261810.8602191238</v>
      </c>
      <c r="G101">
        <v>1652723.7605899861</v>
      </c>
      <c r="H101">
        <v>1393307.2435939694</v>
      </c>
      <c r="I101">
        <v>1851283.6043487522</v>
      </c>
    </row>
    <row r="102" spans="1:9" x14ac:dyDescent="0.25">
      <c r="A102" s="19">
        <v>69</v>
      </c>
      <c r="B102" s="46">
        <f t="shared" si="7"/>
        <v>0.12543709702039463</v>
      </c>
      <c r="C102" s="46">
        <f t="shared" si="8"/>
        <v>732005.78360209987</v>
      </c>
      <c r="D102" s="47">
        <f t="shared" si="9"/>
        <v>-5525000</v>
      </c>
      <c r="E102">
        <v>1279519.7753748018</v>
      </c>
      <c r="F102">
        <v>1478004.3446671367</v>
      </c>
      <c r="G102">
        <v>1445435.8777314771</v>
      </c>
      <c r="H102">
        <v>1764426.7840260882</v>
      </c>
      <c r="I102">
        <v>1999424.6024839566</v>
      </c>
    </row>
    <row r="103" spans="1:9" x14ac:dyDescent="0.25">
      <c r="A103" s="19">
        <v>70</v>
      </c>
      <c r="B103" s="46">
        <f t="shared" si="7"/>
        <v>0.11297240490413474</v>
      </c>
      <c r="C103" s="46">
        <f t="shared" si="8"/>
        <v>523449.87515833322</v>
      </c>
      <c r="D103" s="47">
        <f t="shared" si="9"/>
        <v>-5525000</v>
      </c>
      <c r="E103">
        <v>1370600.1559457311</v>
      </c>
      <c r="F103">
        <v>1183433.790051789</v>
      </c>
      <c r="G103">
        <v>1684784.8130695345</v>
      </c>
      <c r="H103">
        <v>1430859.0292749587</v>
      </c>
      <c r="I103">
        <v>2021224.3378341708</v>
      </c>
    </row>
    <row r="104" spans="1:9" x14ac:dyDescent="0.25">
      <c r="A104" s="19">
        <v>71</v>
      </c>
      <c r="B104" s="46">
        <f t="shared" si="7"/>
        <v>0.10832297498978738</v>
      </c>
      <c r="C104" s="46">
        <f t="shared" si="8"/>
        <v>457809.3089237269</v>
      </c>
      <c r="D104" s="47">
        <f t="shared" si="9"/>
        <v>-5525000</v>
      </c>
      <c r="E104">
        <v>1260405.0389144779</v>
      </c>
      <c r="F104">
        <v>1306814.818112765</v>
      </c>
      <c r="G104">
        <v>1367290.8992433511</v>
      </c>
      <c r="H104">
        <v>1566019.9464001353</v>
      </c>
      <c r="I104">
        <v>2143622.6000264622</v>
      </c>
    </row>
    <row r="105" spans="1:9" x14ac:dyDescent="0.25">
      <c r="A105" s="19">
        <v>72</v>
      </c>
      <c r="B105" s="46">
        <f t="shared" si="7"/>
        <v>0.10095423576577822</v>
      </c>
      <c r="C105" s="46">
        <f t="shared" si="8"/>
        <v>334593.16224180348</v>
      </c>
      <c r="D105" s="47">
        <f t="shared" si="9"/>
        <v>-5525000</v>
      </c>
      <c r="E105">
        <v>1333219.5826423506</v>
      </c>
      <c r="F105">
        <v>1079048.1272715293</v>
      </c>
      <c r="G105">
        <v>1643879.7204231084</v>
      </c>
      <c r="H105">
        <v>1257822.3189812861</v>
      </c>
      <c r="I105">
        <v>2160674.9435636783</v>
      </c>
    </row>
    <row r="106" spans="1:9" x14ac:dyDescent="0.25">
      <c r="A106" s="19">
        <v>73</v>
      </c>
      <c r="B106" s="46">
        <f t="shared" si="7"/>
        <v>0.11980556649513741</v>
      </c>
      <c r="C106" s="46">
        <f t="shared" si="8"/>
        <v>625317.48023867328</v>
      </c>
      <c r="D106" s="47">
        <f t="shared" si="9"/>
        <v>-5525000</v>
      </c>
      <c r="E106">
        <v>1391290.42144662</v>
      </c>
      <c r="F106">
        <v>1453034.1107865421</v>
      </c>
      <c r="G106">
        <v>1454379.8486287121</v>
      </c>
      <c r="H106">
        <v>1494631.2061475483</v>
      </c>
      <c r="I106">
        <v>2003004.0325696217</v>
      </c>
    </row>
    <row r="107" spans="1:9" x14ac:dyDescent="0.25">
      <c r="A107" s="19">
        <v>74</v>
      </c>
      <c r="B107" s="46">
        <f t="shared" si="7"/>
        <v>8.7664654290760424E-2</v>
      </c>
      <c r="C107" s="46">
        <f t="shared" si="8"/>
        <v>119754.85240703449</v>
      </c>
      <c r="D107" s="47">
        <f t="shared" si="9"/>
        <v>-5525000</v>
      </c>
      <c r="E107">
        <v>1280933.8122623833</v>
      </c>
      <c r="F107">
        <v>1224709.9565365384</v>
      </c>
      <c r="G107">
        <v>1415977.2874976331</v>
      </c>
      <c r="H107">
        <v>1254717.3040694334</v>
      </c>
      <c r="I107">
        <v>2001828.0559202293</v>
      </c>
    </row>
    <row r="108" spans="1:9" x14ac:dyDescent="0.25">
      <c r="A108" s="19">
        <v>75</v>
      </c>
      <c r="B108" s="46">
        <f t="shared" si="7"/>
        <v>0.10483673239470859</v>
      </c>
      <c r="C108" s="46">
        <f t="shared" si="8"/>
        <v>391543.79852014128</v>
      </c>
      <c r="D108" s="47">
        <f t="shared" si="9"/>
        <v>-5525000</v>
      </c>
      <c r="E108">
        <v>1321625.059967055</v>
      </c>
      <c r="F108">
        <v>1320941.2035075398</v>
      </c>
      <c r="G108">
        <v>1380682.2992322557</v>
      </c>
      <c r="H108">
        <v>1550160.973598483</v>
      </c>
      <c r="I108">
        <v>1946680.4467742958</v>
      </c>
    </row>
    <row r="109" spans="1:9" x14ac:dyDescent="0.25">
      <c r="A109" s="19">
        <v>76</v>
      </c>
      <c r="B109" s="46">
        <f t="shared" si="7"/>
        <v>0.1398468416641625</v>
      </c>
      <c r="C109" s="46">
        <f t="shared" si="8"/>
        <v>943760.01569784246</v>
      </c>
      <c r="D109" s="47">
        <f t="shared" si="9"/>
        <v>-5525000</v>
      </c>
      <c r="E109">
        <v>1430519.542731354</v>
      </c>
      <c r="F109">
        <v>1545193.6068211249</v>
      </c>
      <c r="G109">
        <v>1656128.2266323976</v>
      </c>
      <c r="H109">
        <v>1597170.8789003033</v>
      </c>
      <c r="I109">
        <v>1955373.2266035848</v>
      </c>
    </row>
    <row r="110" spans="1:9" x14ac:dyDescent="0.25">
      <c r="A110" s="19">
        <v>77</v>
      </c>
      <c r="B110" s="46">
        <f t="shared" si="7"/>
        <v>0.12233256164384554</v>
      </c>
      <c r="C110" s="46">
        <f t="shared" si="8"/>
        <v>667365.21698519494</v>
      </c>
      <c r="D110" s="47">
        <f t="shared" si="9"/>
        <v>-5525000</v>
      </c>
      <c r="E110">
        <v>1345612.5279789651</v>
      </c>
      <c r="F110">
        <v>1529494.2503396338</v>
      </c>
      <c r="G110">
        <v>1452815.5745850815</v>
      </c>
      <c r="H110">
        <v>1530269.8128799393</v>
      </c>
      <c r="I110">
        <v>1993947.3411727857</v>
      </c>
    </row>
    <row r="111" spans="1:9" x14ac:dyDescent="0.25">
      <c r="A111" s="19">
        <v>78</v>
      </c>
      <c r="B111" s="46">
        <f t="shared" si="7"/>
        <v>0.10293039184984476</v>
      </c>
      <c r="C111" s="46">
        <f t="shared" si="8"/>
        <v>367231.874996759</v>
      </c>
      <c r="D111" s="47">
        <f t="shared" si="9"/>
        <v>-5525000</v>
      </c>
      <c r="E111">
        <v>1230966.4007206541</v>
      </c>
      <c r="F111">
        <v>1290839.8847366367</v>
      </c>
      <c r="G111">
        <v>1327042.0070242542</v>
      </c>
      <c r="H111">
        <v>1768960.5014275885</v>
      </c>
      <c r="I111">
        <v>1898479.899221017</v>
      </c>
    </row>
    <row r="112" spans="1:9" x14ac:dyDescent="0.25">
      <c r="A112" s="19">
        <v>79</v>
      </c>
      <c r="B112" s="46">
        <f t="shared" si="7"/>
        <v>0.13151011255658984</v>
      </c>
      <c r="C112" s="46">
        <f t="shared" si="8"/>
        <v>822316.55210451223</v>
      </c>
      <c r="D112" s="47">
        <f t="shared" si="9"/>
        <v>-5525000</v>
      </c>
      <c r="E112">
        <v>1466177.4193827389</v>
      </c>
      <c r="F112">
        <v>1353653.5110369765</v>
      </c>
      <c r="G112">
        <v>1462965.5354568674</v>
      </c>
      <c r="H112">
        <v>1752089.9431438893</v>
      </c>
      <c r="I112">
        <v>2027698.5190253225</v>
      </c>
    </row>
    <row r="113" spans="1:9" x14ac:dyDescent="0.25">
      <c r="A113" s="19">
        <v>80</v>
      </c>
      <c r="B113" s="46">
        <f t="shared" si="7"/>
        <v>0.13078184909770729</v>
      </c>
      <c r="C113" s="46">
        <f t="shared" si="8"/>
        <v>820483.24101304729</v>
      </c>
      <c r="D113" s="47">
        <f t="shared" si="9"/>
        <v>-5525000</v>
      </c>
      <c r="E113">
        <v>1289073.5624695756</v>
      </c>
      <c r="F113">
        <v>1407599.9050555434</v>
      </c>
      <c r="G113">
        <v>1705461.2656196402</v>
      </c>
      <c r="H113">
        <v>1648844.1045986265</v>
      </c>
      <c r="I113">
        <v>2026654.1917340118</v>
      </c>
    </row>
    <row r="114" spans="1:9" x14ac:dyDescent="0.25">
      <c r="A114" s="19">
        <v>81</v>
      </c>
      <c r="B114" s="46">
        <f t="shared" si="7"/>
        <v>7.4355600859643545E-2</v>
      </c>
      <c r="C114" s="46">
        <f t="shared" si="8"/>
        <v>-91164.922776382416</v>
      </c>
      <c r="D114" s="47">
        <f t="shared" si="9"/>
        <v>-5525000</v>
      </c>
      <c r="E114">
        <v>1098621.2791921664</v>
      </c>
      <c r="F114">
        <v>1023477.0914985016</v>
      </c>
      <c r="G114">
        <v>1406184.4169831309</v>
      </c>
      <c r="H114">
        <v>1376384.5030517559</v>
      </c>
      <c r="I114">
        <v>2073469.1809525583</v>
      </c>
    </row>
    <row r="115" spans="1:9" x14ac:dyDescent="0.25">
      <c r="A115" s="19">
        <v>82</v>
      </c>
      <c r="B115" s="46">
        <f t="shared" si="7"/>
        <v>9.6087616631849393E-2</v>
      </c>
      <c r="C115" s="46">
        <f t="shared" si="8"/>
        <v>259558.75964876637</v>
      </c>
      <c r="D115" s="47">
        <f t="shared" si="9"/>
        <v>-5525000</v>
      </c>
      <c r="E115">
        <v>1105834.7090456029</v>
      </c>
      <c r="F115">
        <v>1387962.3228285378</v>
      </c>
      <c r="G115">
        <v>1413775.4008246409</v>
      </c>
      <c r="H115">
        <v>1309910.4447938744</v>
      </c>
      <c r="I115">
        <v>2182774.9826957341</v>
      </c>
    </row>
    <row r="116" spans="1:9" x14ac:dyDescent="0.25">
      <c r="A116" s="19">
        <v>83</v>
      </c>
      <c r="B116" s="46">
        <f t="shared" si="7"/>
        <v>9.533566189917364E-2</v>
      </c>
      <c r="C116" s="46">
        <f t="shared" si="8"/>
        <v>234203.20336007047</v>
      </c>
      <c r="D116" s="47">
        <f t="shared" si="9"/>
        <v>-5525000</v>
      </c>
      <c r="E116">
        <v>1313377.7051679592</v>
      </c>
      <c r="F116">
        <v>1388742.669282659</v>
      </c>
      <c r="G116">
        <v>1475620.9268583623</v>
      </c>
      <c r="H116">
        <v>1327833.8568817135</v>
      </c>
      <c r="I116">
        <v>1770682.4785750695</v>
      </c>
    </row>
    <row r="117" spans="1:9" x14ac:dyDescent="0.25">
      <c r="A117" s="19">
        <v>84</v>
      </c>
      <c r="B117" s="46">
        <f t="shared" si="7"/>
        <v>9.479628427811182E-2</v>
      </c>
      <c r="C117" s="46">
        <f t="shared" si="8"/>
        <v>231110.43078856822</v>
      </c>
      <c r="D117" s="47">
        <f t="shared" si="9"/>
        <v>-5525000</v>
      </c>
      <c r="E117">
        <v>1283059.13085017</v>
      </c>
      <c r="F117">
        <v>1345425.2556266179</v>
      </c>
      <c r="G117">
        <v>1329630.3152586622</v>
      </c>
      <c r="H117">
        <v>1413764.053173597</v>
      </c>
      <c r="I117">
        <v>1939432.5698090296</v>
      </c>
    </row>
    <row r="118" spans="1:9" x14ac:dyDescent="0.25">
      <c r="A118" s="19">
        <v>85</v>
      </c>
      <c r="B118" s="46">
        <f t="shared" si="7"/>
        <v>0.11932454382976099</v>
      </c>
      <c r="C118" s="46">
        <f t="shared" si="8"/>
        <v>637869.42414487153</v>
      </c>
      <c r="D118" s="47">
        <f t="shared" si="9"/>
        <v>-5525000</v>
      </c>
      <c r="E118">
        <v>1179519.4686728157</v>
      </c>
      <c r="F118">
        <v>1363516.128426421</v>
      </c>
      <c r="G118">
        <v>1632340.279020689</v>
      </c>
      <c r="H118">
        <v>1775413.7073971806</v>
      </c>
      <c r="I118">
        <v>1911507.7287028879</v>
      </c>
    </row>
    <row r="119" spans="1:9" x14ac:dyDescent="0.25">
      <c r="A119" s="19">
        <v>86</v>
      </c>
      <c r="B119" s="46">
        <f t="shared" si="7"/>
        <v>0.12727420668489642</v>
      </c>
      <c r="C119" s="46">
        <f t="shared" si="8"/>
        <v>740356.98673076183</v>
      </c>
      <c r="D119" s="47">
        <f t="shared" si="9"/>
        <v>-5525000</v>
      </c>
      <c r="E119">
        <v>1508205.6242990168</v>
      </c>
      <c r="F119">
        <v>1399638.8705572495</v>
      </c>
      <c r="G119">
        <v>1536112.1015943061</v>
      </c>
      <c r="H119">
        <v>1390874.1178930514</v>
      </c>
      <c r="I119">
        <v>2096960.7469783267</v>
      </c>
    </row>
    <row r="120" spans="1:9" x14ac:dyDescent="0.25">
      <c r="A120" s="19">
        <v>87</v>
      </c>
      <c r="B120" s="46">
        <f t="shared" si="7"/>
        <v>0.11869463720476192</v>
      </c>
      <c r="C120" s="46">
        <f t="shared" si="8"/>
        <v>622748.55826411862</v>
      </c>
      <c r="D120" s="47">
        <f t="shared" si="9"/>
        <v>-5525000</v>
      </c>
      <c r="E120">
        <v>1115326.7641874938</v>
      </c>
      <c r="F120">
        <v>1690334.9777430445</v>
      </c>
      <c r="G120">
        <v>1333203.9473156035</v>
      </c>
      <c r="H120">
        <v>1737745.279020689</v>
      </c>
      <c r="I120">
        <v>1954520.5753206727</v>
      </c>
    </row>
    <row r="121" spans="1:9" x14ac:dyDescent="0.25">
      <c r="A121" s="19">
        <v>88</v>
      </c>
      <c r="B121" s="46">
        <f t="shared" si="7"/>
        <v>0.13633838436691481</v>
      </c>
      <c r="C121" s="46">
        <f t="shared" si="8"/>
        <v>886335.14625840448</v>
      </c>
      <c r="D121" s="47">
        <f t="shared" si="9"/>
        <v>-5525000</v>
      </c>
      <c r="E121">
        <v>1458387.2562015406</v>
      </c>
      <c r="F121">
        <v>1438755.100812126</v>
      </c>
      <c r="G121">
        <v>1718585.9562872499</v>
      </c>
      <c r="H121">
        <v>1544048.6576117992</v>
      </c>
      <c r="I121">
        <v>1951686.703516786</v>
      </c>
    </row>
    <row r="122" spans="1:9" x14ac:dyDescent="0.25">
      <c r="A122" s="19">
        <v>89</v>
      </c>
      <c r="B122" s="46">
        <f t="shared" si="7"/>
        <v>0.12512882123577351</v>
      </c>
      <c r="C122" s="46">
        <f t="shared" si="8"/>
        <v>717523.84134875517</v>
      </c>
      <c r="D122" s="47">
        <f t="shared" si="9"/>
        <v>-5525000</v>
      </c>
      <c r="E122">
        <v>1324107.8099726385</v>
      </c>
      <c r="F122">
        <v>1451983.6444059943</v>
      </c>
      <c r="G122">
        <v>1590206.1748150734</v>
      </c>
      <c r="H122">
        <v>1592327.6490831058</v>
      </c>
      <c r="I122">
        <v>1967269.9288935445</v>
      </c>
    </row>
    <row r="123" spans="1:9" x14ac:dyDescent="0.25">
      <c r="A123" s="19">
        <v>90</v>
      </c>
      <c r="B123" s="46">
        <f t="shared" si="7"/>
        <v>9.4464521857409833E-2</v>
      </c>
      <c r="C123" s="46">
        <f t="shared" si="8"/>
        <v>233285.97041091323</v>
      </c>
      <c r="D123" s="47">
        <f t="shared" si="9"/>
        <v>-5525000</v>
      </c>
      <c r="E123">
        <v>1134420.3548960015</v>
      </c>
      <c r="F123">
        <v>1226338.1794263874</v>
      </c>
      <c r="G123">
        <v>1501126.7962748823</v>
      </c>
      <c r="H123">
        <v>1461141.1101178392</v>
      </c>
      <c r="I123">
        <v>2043665.2669491349</v>
      </c>
    </row>
    <row r="124" spans="1:9" x14ac:dyDescent="0.25">
      <c r="A124" s="19">
        <v>91</v>
      </c>
      <c r="B124" s="46">
        <f t="shared" si="7"/>
        <v>0.14169354088711272</v>
      </c>
      <c r="C124" s="46">
        <f t="shared" si="8"/>
        <v>966371.6370386472</v>
      </c>
      <c r="D124" s="47">
        <f t="shared" si="9"/>
        <v>-5525000</v>
      </c>
      <c r="E124">
        <v>1557480.000877995</v>
      </c>
      <c r="F124">
        <v>1474813.3825059664</v>
      </c>
      <c r="G124">
        <v>1584306.6805886044</v>
      </c>
      <c r="H124">
        <v>1586784.0515021244</v>
      </c>
      <c r="I124">
        <v>1999518.0530645638</v>
      </c>
    </row>
    <row r="125" spans="1:9" x14ac:dyDescent="0.25">
      <c r="A125" s="19">
        <v>92</v>
      </c>
      <c r="B125" s="46">
        <f t="shared" si="7"/>
        <v>0.10722681218153762</v>
      </c>
      <c r="C125" s="46">
        <f t="shared" si="8"/>
        <v>433074.24185401574</v>
      </c>
      <c r="D125" s="47">
        <f t="shared" si="9"/>
        <v>-5525000</v>
      </c>
      <c r="E125">
        <v>1317035.238111139</v>
      </c>
      <c r="F125">
        <v>1324242.3282144624</v>
      </c>
      <c r="G125">
        <v>1376256.6980134286</v>
      </c>
      <c r="H125">
        <v>1502155.342128478</v>
      </c>
      <c r="I125">
        <v>2066796.332012488</v>
      </c>
    </row>
    <row r="126" spans="1:9" x14ac:dyDescent="0.25">
      <c r="A126" s="19">
        <v>93</v>
      </c>
      <c r="B126" s="46">
        <f t="shared" si="7"/>
        <v>0.11719741966057717</v>
      </c>
      <c r="C126" s="46">
        <f t="shared" si="8"/>
        <v>580607.14932538196</v>
      </c>
      <c r="D126" s="47">
        <f t="shared" si="9"/>
        <v>-5525000</v>
      </c>
      <c r="E126">
        <v>1310742.501112991</v>
      </c>
      <c r="F126">
        <v>1542342.6819915799</v>
      </c>
      <c r="G126">
        <v>1554085.3085170672</v>
      </c>
      <c r="H126">
        <v>1375312.2087983657</v>
      </c>
      <c r="I126">
        <v>1946959.4342740646</v>
      </c>
    </row>
    <row r="127" spans="1:9" x14ac:dyDescent="0.25">
      <c r="A127" s="19">
        <v>94</v>
      </c>
      <c r="B127" s="46">
        <f t="shared" si="7"/>
        <v>0.12432601257867737</v>
      </c>
      <c r="C127" s="46">
        <f t="shared" si="8"/>
        <v>710448.10261288192</v>
      </c>
      <c r="D127" s="47">
        <f t="shared" si="9"/>
        <v>-5525000</v>
      </c>
      <c r="E127">
        <v>1414869.2989637586</v>
      </c>
      <c r="F127">
        <v>1364223.828991238</v>
      </c>
      <c r="G127">
        <v>1483376.6429277309</v>
      </c>
      <c r="H127">
        <v>1425216.1830846462</v>
      </c>
      <c r="I127">
        <v>2249031.7854067297</v>
      </c>
    </row>
    <row r="128" spans="1:9" x14ac:dyDescent="0.25">
      <c r="A128" s="19">
        <v>95</v>
      </c>
      <c r="B128" s="46">
        <f t="shared" si="7"/>
        <v>8.6585822366382903E-2</v>
      </c>
      <c r="C128" s="46">
        <f t="shared" si="8"/>
        <v>105242.50195563491</v>
      </c>
      <c r="D128" s="47">
        <f t="shared" si="9"/>
        <v>-5525000</v>
      </c>
      <c r="E128">
        <v>1085818.5496489843</v>
      </c>
      <c r="F128">
        <v>1236625.5876849787</v>
      </c>
      <c r="G128">
        <v>1485212.9127306105</v>
      </c>
      <c r="H128">
        <v>1471572.7869734992</v>
      </c>
      <c r="I128">
        <v>1915986.1943012555</v>
      </c>
    </row>
    <row r="129" spans="1:9" x14ac:dyDescent="0.25">
      <c r="A129" s="19">
        <v>96</v>
      </c>
      <c r="B129" s="46">
        <f t="shared" si="7"/>
        <v>0.13944851189947904</v>
      </c>
      <c r="C129" s="46">
        <f t="shared" si="8"/>
        <v>941350.37519691326</v>
      </c>
      <c r="D129" s="47">
        <f t="shared" si="9"/>
        <v>-5525000</v>
      </c>
      <c r="E129">
        <v>1485688.1270988472</v>
      </c>
      <c r="F129">
        <v>1366830.0429025872</v>
      </c>
      <c r="G129">
        <v>1702324.5320800631</v>
      </c>
      <c r="H129">
        <v>1732367.0957885925</v>
      </c>
      <c r="I129">
        <v>1901567.8611072116</v>
      </c>
    </row>
    <row r="130" spans="1:9" x14ac:dyDescent="0.25">
      <c r="A130" s="19">
        <v>97</v>
      </c>
      <c r="B130" s="46">
        <f t="shared" si="7"/>
        <v>9.8814881868193316E-2</v>
      </c>
      <c r="C130" s="46">
        <f t="shared" si="8"/>
        <v>299875.51523149665</v>
      </c>
      <c r="D130" s="47">
        <f t="shared" si="9"/>
        <v>-5525000</v>
      </c>
      <c r="E130">
        <v>1378711.0865395609</v>
      </c>
      <c r="F130">
        <v>1078580.1922474671</v>
      </c>
      <c r="G130">
        <v>1430324.3390444256</v>
      </c>
      <c r="H130">
        <v>1410075.142663206</v>
      </c>
      <c r="I130">
        <v>2133020.0518537066</v>
      </c>
    </row>
    <row r="131" spans="1:9" x14ac:dyDescent="0.25">
      <c r="A131" s="19">
        <v>98</v>
      </c>
      <c r="B131" s="46">
        <f t="shared" si="7"/>
        <v>0.13184076533280908</v>
      </c>
      <c r="C131" s="46">
        <f t="shared" si="8"/>
        <v>825287.76232558023</v>
      </c>
      <c r="D131" s="47">
        <f t="shared" si="9"/>
        <v>-5525000</v>
      </c>
      <c r="E131">
        <v>1614936.419167798</v>
      </c>
      <c r="F131">
        <v>1255739.9830847895</v>
      </c>
      <c r="G131">
        <v>1400272.1329874182</v>
      </c>
      <c r="H131">
        <v>1529894.646315458</v>
      </c>
      <c r="I131">
        <v>2266118.5760557754</v>
      </c>
    </row>
    <row r="132" spans="1:9" x14ac:dyDescent="0.25">
      <c r="A132" s="19">
        <v>99</v>
      </c>
      <c r="B132" s="46">
        <f t="shared" si="7"/>
        <v>0.13602916181424507</v>
      </c>
      <c r="C132" s="46">
        <f t="shared" si="8"/>
        <v>873405.9583772663</v>
      </c>
      <c r="D132" s="47">
        <f t="shared" si="9"/>
        <v>-5525000</v>
      </c>
      <c r="E132">
        <v>1523422.3801543796</v>
      </c>
      <c r="F132">
        <v>1581426.1704371925</v>
      </c>
      <c r="G132">
        <v>1394970.8589010404</v>
      </c>
      <c r="H132">
        <v>1574546.2886989999</v>
      </c>
      <c r="I132">
        <v>2009012.6661603034</v>
      </c>
    </row>
    <row r="133" spans="1:9" x14ac:dyDescent="0.25">
      <c r="A133" s="19">
        <v>100</v>
      </c>
      <c r="B133" s="46">
        <f t="shared" si="7"/>
        <v>0.11347397957600247</v>
      </c>
      <c r="C133" s="46">
        <f t="shared" si="8"/>
        <v>516425.8182346886</v>
      </c>
      <c r="D133" s="47">
        <f t="shared" si="9"/>
        <v>-5525000</v>
      </c>
      <c r="E133">
        <v>1357028.1644151057</v>
      </c>
      <c r="F133">
        <v>1605475.0293414723</v>
      </c>
      <c r="G133">
        <v>1375744.0840621418</v>
      </c>
      <c r="H133">
        <v>1344438.7290256573</v>
      </c>
      <c r="I133">
        <v>1951516.8553812299</v>
      </c>
    </row>
    <row r="134" spans="1:9" x14ac:dyDescent="0.25">
      <c r="A134" s="19">
        <v>101</v>
      </c>
      <c r="B134" s="46">
        <f t="shared" si="7"/>
        <v>0.12925926438497726</v>
      </c>
      <c r="C134" s="46">
        <f t="shared" si="8"/>
        <v>797123.31149594393</v>
      </c>
      <c r="D134" s="47">
        <f t="shared" si="9"/>
        <v>-5525000</v>
      </c>
      <c r="E134">
        <v>1383598.1426327</v>
      </c>
      <c r="F134">
        <v>1330830.9352077809</v>
      </c>
      <c r="G134">
        <v>1423738.1194746993</v>
      </c>
      <c r="H134">
        <v>1913648.9439880252</v>
      </c>
      <c r="I134">
        <v>2003050.5873296687</v>
      </c>
    </row>
    <row r="135" spans="1:9" x14ac:dyDescent="0.25">
      <c r="A135" s="19">
        <v>102</v>
      </c>
      <c r="B135" s="46">
        <f t="shared" si="7"/>
        <v>8.652800175725428E-2</v>
      </c>
      <c r="C135" s="46">
        <f t="shared" si="8"/>
        <v>104261.5456968667</v>
      </c>
      <c r="D135" s="47">
        <f t="shared" si="9"/>
        <v>-5525000</v>
      </c>
      <c r="E135">
        <v>1073325.5030517559</v>
      </c>
      <c r="F135">
        <v>1222626.7589221275</v>
      </c>
      <c r="G135">
        <v>1402015.2932702038</v>
      </c>
      <c r="H135">
        <v>1774139.5053199967</v>
      </c>
      <c r="I135">
        <v>1719445.6398033407</v>
      </c>
    </row>
    <row r="136" spans="1:9" x14ac:dyDescent="0.25">
      <c r="A136" s="19">
        <v>103</v>
      </c>
      <c r="B136" s="46">
        <f t="shared" si="7"/>
        <v>0.11123611358780217</v>
      </c>
      <c r="C136" s="46">
        <f t="shared" si="8"/>
        <v>518775.99309371505</v>
      </c>
      <c r="D136" s="47">
        <f t="shared" si="9"/>
        <v>-5525000</v>
      </c>
      <c r="E136">
        <v>1060418.4089915454</v>
      </c>
      <c r="F136">
        <v>1340293.3180850265</v>
      </c>
      <c r="G136">
        <v>1464498.2614030303</v>
      </c>
      <c r="H136">
        <v>1802824.7408402395</v>
      </c>
      <c r="I136">
        <v>2093977.1496091606</v>
      </c>
    </row>
    <row r="137" spans="1:9" x14ac:dyDescent="0.25">
      <c r="A137" s="19">
        <v>104</v>
      </c>
      <c r="B137" s="46">
        <f t="shared" si="7"/>
        <v>8.3623106284892668E-2</v>
      </c>
      <c r="C137" s="46">
        <f t="shared" si="8"/>
        <v>55301.451600627042</v>
      </c>
      <c r="D137" s="47">
        <f t="shared" si="9"/>
        <v>-5525000</v>
      </c>
      <c r="E137">
        <v>1443318.5206088913</v>
      </c>
      <c r="F137">
        <v>1120660.9204827724</v>
      </c>
      <c r="G137">
        <v>1189194.556236878</v>
      </c>
      <c r="H137">
        <v>1592465.4375304244</v>
      </c>
      <c r="I137">
        <v>1717025.4744019229</v>
      </c>
    </row>
    <row r="138" spans="1:9" x14ac:dyDescent="0.25">
      <c r="A138" s="19">
        <v>105</v>
      </c>
      <c r="B138" s="46">
        <f t="shared" si="7"/>
        <v>0.11478269110624439</v>
      </c>
      <c r="C138" s="46">
        <f t="shared" si="8"/>
        <v>533604.56681729574</v>
      </c>
      <c r="D138" s="47">
        <f t="shared" si="9"/>
        <v>-5525000</v>
      </c>
      <c r="E138">
        <v>1261503.0832366121</v>
      </c>
      <c r="F138">
        <v>1670204.2220140025</v>
      </c>
      <c r="G138">
        <v>1477472.8854448474</v>
      </c>
      <c r="H138">
        <v>1594875.2005861907</v>
      </c>
      <c r="I138">
        <v>1636050.8873663247</v>
      </c>
    </row>
    <row r="139" spans="1:9" x14ac:dyDescent="0.25">
      <c r="A139" s="19">
        <v>106</v>
      </c>
      <c r="B139" s="46">
        <f t="shared" si="7"/>
        <v>0.14976841911747285</v>
      </c>
      <c r="C139" s="46">
        <f t="shared" si="8"/>
        <v>1116543.2880864153</v>
      </c>
      <c r="D139" s="47">
        <f t="shared" si="9"/>
        <v>-5525000</v>
      </c>
      <c r="E139">
        <v>1446106.6903040139</v>
      </c>
      <c r="F139">
        <v>1494291.0073522977</v>
      </c>
      <c r="G139">
        <v>1838415.5212246403</v>
      </c>
      <c r="H139">
        <v>1551972.1754536449</v>
      </c>
      <c r="I139">
        <v>2088359.712427079</v>
      </c>
    </row>
    <row r="140" spans="1:9" x14ac:dyDescent="0.25">
      <c r="A140" s="19">
        <v>107</v>
      </c>
      <c r="B140" s="46">
        <f t="shared" si="7"/>
        <v>0.1104701164010462</v>
      </c>
      <c r="C140" s="46">
        <f t="shared" si="8"/>
        <v>476422.28587917332</v>
      </c>
      <c r="D140" s="47">
        <f t="shared" si="9"/>
        <v>-5525000</v>
      </c>
      <c r="E140">
        <v>1376690.1324688026</v>
      </c>
      <c r="F140">
        <v>1241815.1644532951</v>
      </c>
      <c r="G140">
        <v>1702678.8939532414</v>
      </c>
      <c r="H140">
        <v>1356036.8328363411</v>
      </c>
      <c r="I140">
        <v>1930232.6329966644</v>
      </c>
    </row>
    <row r="141" spans="1:9" x14ac:dyDescent="0.25">
      <c r="A141" s="19">
        <v>108</v>
      </c>
      <c r="B141" s="46">
        <f t="shared" si="7"/>
        <v>0.11324401937096695</v>
      </c>
      <c r="C141" s="46">
        <f t="shared" si="8"/>
        <v>529757.72874727938</v>
      </c>
      <c r="D141" s="47">
        <f t="shared" si="9"/>
        <v>-5525000</v>
      </c>
      <c r="E141">
        <v>1207161.059022774</v>
      </c>
      <c r="F141">
        <v>1359480.3593741413</v>
      </c>
      <c r="G141">
        <v>1688970.9898081198</v>
      </c>
      <c r="H141">
        <v>1576497.6664250726</v>
      </c>
      <c r="I141">
        <v>1868909.2706085984</v>
      </c>
    </row>
    <row r="142" spans="1:9" x14ac:dyDescent="0.25">
      <c r="A142" s="19">
        <v>109</v>
      </c>
      <c r="B142" s="46">
        <f t="shared" si="7"/>
        <v>0.12000506552765633</v>
      </c>
      <c r="C142" s="46">
        <f t="shared" si="8"/>
        <v>645379.39826597366</v>
      </c>
      <c r="D142" s="47">
        <f t="shared" si="9"/>
        <v>-5525000</v>
      </c>
      <c r="E142">
        <v>1377507.4839886022</v>
      </c>
      <c r="F142">
        <v>1286131.5443523959</v>
      </c>
      <c r="G142">
        <v>1444361.878175521</v>
      </c>
      <c r="H142">
        <v>1585911.2776489356</v>
      </c>
      <c r="I142">
        <v>2174584.7555325935</v>
      </c>
    </row>
    <row r="143" spans="1:9" x14ac:dyDescent="0.25">
      <c r="A143" s="19">
        <v>110</v>
      </c>
      <c r="B143" s="46">
        <f t="shared" si="7"/>
        <v>0.11500969477378931</v>
      </c>
      <c r="C143" s="46">
        <f t="shared" si="8"/>
        <v>564464.87300476991</v>
      </c>
      <c r="D143" s="47">
        <f t="shared" si="9"/>
        <v>-5525000</v>
      </c>
      <c r="E143">
        <v>1279680.7559370156</v>
      </c>
      <c r="F143">
        <v>1345044.1205031562</v>
      </c>
      <c r="G143">
        <v>1581672.1586546625</v>
      </c>
      <c r="H143">
        <v>1309232.4164937027</v>
      </c>
      <c r="I143">
        <v>2253228.5350212231</v>
      </c>
    </row>
    <row r="144" spans="1:9" x14ac:dyDescent="0.25">
      <c r="A144" s="19">
        <v>111</v>
      </c>
      <c r="B144" s="46">
        <f t="shared" si="7"/>
        <v>0.10756032004611926</v>
      </c>
      <c r="C144" s="46">
        <f t="shared" si="8"/>
        <v>451905.81341654342</v>
      </c>
      <c r="D144" s="47">
        <f t="shared" si="9"/>
        <v>-5525000</v>
      </c>
      <c r="E144">
        <v>1134185.7052629441</v>
      </c>
      <c r="F144">
        <v>1330056.3867823835</v>
      </c>
      <c r="G144">
        <v>1521255.1645803321</v>
      </c>
      <c r="H144">
        <v>1419482.2737373188</v>
      </c>
      <c r="I144">
        <v>2256067.5227328073</v>
      </c>
    </row>
    <row r="145" spans="1:9" x14ac:dyDescent="0.25">
      <c r="A145" s="19">
        <v>112</v>
      </c>
      <c r="B145" s="46">
        <f t="shared" si="7"/>
        <v>9.4282708277303673E-2</v>
      </c>
      <c r="C145" s="46">
        <f t="shared" si="8"/>
        <v>221946.63387954701</v>
      </c>
      <c r="D145" s="47">
        <f t="shared" si="9"/>
        <v>-5525000</v>
      </c>
      <c r="E145">
        <v>1342839.0238859085</v>
      </c>
      <c r="F145">
        <v>1262617.8093932718</v>
      </c>
      <c r="G145">
        <v>1310782.2881196332</v>
      </c>
      <c r="H145">
        <v>1529506.5194514764</v>
      </c>
      <c r="I145">
        <v>1845934.0701997615</v>
      </c>
    </row>
    <row r="146" spans="1:9" x14ac:dyDescent="0.25">
      <c r="A146" s="19">
        <v>113</v>
      </c>
      <c r="B146" s="46">
        <f t="shared" si="7"/>
        <v>0.10052216274850223</v>
      </c>
      <c r="C146" s="46">
        <f t="shared" si="8"/>
        <v>330713.48834825959</v>
      </c>
      <c r="D146" s="47">
        <f t="shared" si="9"/>
        <v>-5525000</v>
      </c>
      <c r="E146">
        <v>1141350.7045235112</v>
      </c>
      <c r="F146">
        <v>1307131.322268982</v>
      </c>
      <c r="G146">
        <v>1446412.5045109247</v>
      </c>
      <c r="H146">
        <v>1628677.5375157022</v>
      </c>
      <c r="I146">
        <v>1958492.9071175037</v>
      </c>
    </row>
    <row r="147" spans="1:9" x14ac:dyDescent="0.25">
      <c r="A147" s="19">
        <v>114</v>
      </c>
      <c r="B147" s="46">
        <f t="shared" si="7"/>
        <v>6.8047032258576001E-2</v>
      </c>
      <c r="C147" s="46">
        <f t="shared" si="8"/>
        <v>-188171.54373536725</v>
      </c>
      <c r="D147" s="47">
        <f t="shared" si="9"/>
        <v>-5525000</v>
      </c>
      <c r="E147">
        <v>1291139.0249373019</v>
      </c>
      <c r="F147">
        <v>851588.0498316288</v>
      </c>
      <c r="G147">
        <v>1261253.1393373208</v>
      </c>
      <c r="H147">
        <v>1574719.7179699442</v>
      </c>
      <c r="I147">
        <v>1840392.8600423723</v>
      </c>
    </row>
    <row r="148" spans="1:9" x14ac:dyDescent="0.25">
      <c r="A148" s="19">
        <v>115</v>
      </c>
      <c r="B148" s="46">
        <f t="shared" si="7"/>
        <v>0.12387262289883849</v>
      </c>
      <c r="C148" s="46">
        <f t="shared" si="8"/>
        <v>691064.94393860735</v>
      </c>
      <c r="D148" s="47">
        <f t="shared" si="9"/>
        <v>-5525000</v>
      </c>
      <c r="E148">
        <v>1330888.9456256386</v>
      </c>
      <c r="F148">
        <v>1455387.2577971229</v>
      </c>
      <c r="G148">
        <v>1630442.6183254397</v>
      </c>
      <c r="H148">
        <v>1597664.5639931094</v>
      </c>
      <c r="I148">
        <v>1862184.2394100139</v>
      </c>
    </row>
    <row r="149" spans="1:9" x14ac:dyDescent="0.25">
      <c r="A149" s="19">
        <v>116</v>
      </c>
      <c r="B149" s="46">
        <f t="shared" si="7"/>
        <v>0.13481895544099376</v>
      </c>
      <c r="C149" s="46">
        <f t="shared" si="8"/>
        <v>871974.2257619258</v>
      </c>
      <c r="D149" s="47">
        <f t="shared" si="9"/>
        <v>-5525000</v>
      </c>
      <c r="E149">
        <v>1416901.678561708</v>
      </c>
      <c r="F149">
        <v>1429346.4349657039</v>
      </c>
      <c r="G149">
        <v>1685004.1149794995</v>
      </c>
      <c r="H149">
        <v>1532226.9886347358</v>
      </c>
      <c r="I149">
        <v>2050815.9416681491</v>
      </c>
    </row>
    <row r="150" spans="1:9" x14ac:dyDescent="0.25">
      <c r="A150" s="19">
        <v>117</v>
      </c>
      <c r="B150" s="46">
        <f t="shared" si="7"/>
        <v>0.12393918323497521</v>
      </c>
      <c r="C150" s="46">
        <f t="shared" si="8"/>
        <v>703195.69185808115</v>
      </c>
      <c r="D150" s="47">
        <f t="shared" si="9"/>
        <v>-5525000</v>
      </c>
      <c r="E150">
        <v>1284345.0995150581</v>
      </c>
      <c r="F150">
        <v>1375077.5682319396</v>
      </c>
      <c r="G150">
        <v>1699560.9187418884</v>
      </c>
      <c r="H150">
        <v>1620514.5951936147</v>
      </c>
      <c r="I150">
        <v>1939200.1370693077</v>
      </c>
    </row>
    <row r="151" spans="1:9" x14ac:dyDescent="0.25">
      <c r="A151" s="19">
        <v>118</v>
      </c>
      <c r="B151" s="46">
        <f t="shared" si="7"/>
        <v>0.13093463264551408</v>
      </c>
      <c r="C151" s="46">
        <f t="shared" si="8"/>
        <v>800761.71943292487</v>
      </c>
      <c r="D151" s="47">
        <f t="shared" si="9"/>
        <v>-5525000</v>
      </c>
      <c r="E151">
        <v>1412039.860946543</v>
      </c>
      <c r="F151">
        <v>1463915.8169893231</v>
      </c>
      <c r="G151">
        <v>1522552.217711898</v>
      </c>
      <c r="H151">
        <v>1831256.9094597138</v>
      </c>
      <c r="I151">
        <v>1775779.9690048313</v>
      </c>
    </row>
    <row r="152" spans="1:9" x14ac:dyDescent="0.25">
      <c r="A152" s="19">
        <v>119</v>
      </c>
      <c r="B152" s="46">
        <f t="shared" si="7"/>
        <v>0.13698113272982892</v>
      </c>
      <c r="C152" s="46">
        <f t="shared" si="8"/>
        <v>910930.14513629675</v>
      </c>
      <c r="D152" s="47">
        <f t="shared" si="9"/>
        <v>-5525000</v>
      </c>
      <c r="E152">
        <v>1438234.3315391429</v>
      </c>
      <c r="F152">
        <v>1485943.2102320748</v>
      </c>
      <c r="G152">
        <v>1518914.9778692515</v>
      </c>
      <c r="H152">
        <v>1587519.0369079947</v>
      </c>
      <c r="I152">
        <v>2141747.4493250819</v>
      </c>
    </row>
    <row r="153" spans="1:9" x14ac:dyDescent="0.25">
      <c r="A153" s="19">
        <v>120</v>
      </c>
      <c r="B153" s="46">
        <f t="shared" si="7"/>
        <v>0.12026036900690285</v>
      </c>
      <c r="C153" s="46">
        <f t="shared" si="8"/>
        <v>662281.17992263846</v>
      </c>
      <c r="D153" s="47">
        <f t="shared" si="9"/>
        <v>-5525000</v>
      </c>
      <c r="E153">
        <v>1146325.0721080205</v>
      </c>
      <c r="F153">
        <v>1394104.9932008933</v>
      </c>
      <c r="G153">
        <v>1530023.8303738004</v>
      </c>
      <c r="H153">
        <v>1785571.8537212824</v>
      </c>
      <c r="I153">
        <v>2062375.1645803321</v>
      </c>
    </row>
    <row r="154" spans="1:9" x14ac:dyDescent="0.25">
      <c r="A154" s="19">
        <v>121</v>
      </c>
      <c r="B154" s="46">
        <f t="shared" si="7"/>
        <v>0.10762809094060266</v>
      </c>
      <c r="C154" s="46">
        <f t="shared" si="8"/>
        <v>438113.18376915436</v>
      </c>
      <c r="D154" s="47">
        <f t="shared" si="9"/>
        <v>-5525000</v>
      </c>
      <c r="E154">
        <v>1146325.0721080205</v>
      </c>
      <c r="F154">
        <v>1420293.4952345127</v>
      </c>
      <c r="G154">
        <v>1755077.3848328097</v>
      </c>
      <c r="H154">
        <v>1317135.4707047585</v>
      </c>
      <c r="I154">
        <v>1943417.6913751042</v>
      </c>
    </row>
    <row r="155" spans="1:9" x14ac:dyDescent="0.25">
      <c r="A155" s="19">
        <v>122</v>
      </c>
      <c r="B155" s="46">
        <f t="shared" si="7"/>
        <v>0.12256683440095628</v>
      </c>
      <c r="C155" s="46">
        <f t="shared" si="8"/>
        <v>694664.42711920105</v>
      </c>
      <c r="D155" s="47">
        <f t="shared" si="9"/>
        <v>-5525000</v>
      </c>
      <c r="E155">
        <v>1287329.3790052505</v>
      </c>
      <c r="F155">
        <v>1281381.2535250359</v>
      </c>
      <c r="G155">
        <v>1610401.2204508469</v>
      </c>
      <c r="H155">
        <v>1596482.1071939669</v>
      </c>
      <c r="I155">
        <v>2170586.1620762488</v>
      </c>
    </row>
    <row r="156" spans="1:9" x14ac:dyDescent="0.25">
      <c r="A156" s="19">
        <v>123</v>
      </c>
      <c r="B156" s="46">
        <f t="shared" si="7"/>
        <v>0.11349793936509855</v>
      </c>
      <c r="C156" s="46">
        <f t="shared" si="8"/>
        <v>557906.45701914188</v>
      </c>
      <c r="D156" s="47">
        <f t="shared" si="9"/>
        <v>-5525000</v>
      </c>
      <c r="E156">
        <v>1131617.860659326</v>
      </c>
      <c r="F156">
        <v>1202096.2802716563</v>
      </c>
      <c r="G156">
        <v>1520254.4930347065</v>
      </c>
      <c r="H156">
        <v>1871058.6713460516</v>
      </c>
      <c r="I156">
        <v>2089968.324337421</v>
      </c>
    </row>
    <row r="157" spans="1:9" x14ac:dyDescent="0.25">
      <c r="A157" s="19">
        <v>124</v>
      </c>
      <c r="B157" s="46">
        <f t="shared" si="7"/>
        <v>8.5910171444212757E-2</v>
      </c>
      <c r="C157" s="46">
        <f t="shared" si="8"/>
        <v>96413.672163972631</v>
      </c>
      <c r="D157" s="47">
        <f t="shared" si="9"/>
        <v>-5525000</v>
      </c>
      <c r="E157">
        <v>973784.94592151605</v>
      </c>
      <c r="F157">
        <v>1319361.4112105602</v>
      </c>
      <c r="G157">
        <v>1231000.3896985725</v>
      </c>
      <c r="H157">
        <v>1772263.3314370769</v>
      </c>
      <c r="I157">
        <v>1922978.6169421612</v>
      </c>
    </row>
    <row r="158" spans="1:9" x14ac:dyDescent="0.25">
      <c r="A158" s="19">
        <v>125</v>
      </c>
      <c r="B158" s="46">
        <f t="shared" si="7"/>
        <v>0.12793740424038469</v>
      </c>
      <c r="C158" s="46">
        <f t="shared" si="8"/>
        <v>776771.76420610305</v>
      </c>
      <c r="D158" s="47">
        <f t="shared" si="9"/>
        <v>-5525000</v>
      </c>
      <c r="E158">
        <v>1218040.8893927326</v>
      </c>
      <c r="F158">
        <v>1528464.9297109023</v>
      </c>
      <c r="G158">
        <v>1512416.0697908953</v>
      </c>
      <c r="H158">
        <v>1775486.3532864847</v>
      </c>
      <c r="I158">
        <v>1995206.0249966206</v>
      </c>
    </row>
    <row r="159" spans="1:9" x14ac:dyDescent="0.25">
      <c r="A159" s="19">
        <v>126</v>
      </c>
      <c r="B159" s="46">
        <f t="shared" si="7"/>
        <v>8.6238396018229579E-2</v>
      </c>
      <c r="C159" s="46">
        <f t="shared" si="8"/>
        <v>101222.48099789582</v>
      </c>
      <c r="D159" s="47">
        <f t="shared" si="9"/>
        <v>-5525000</v>
      </c>
      <c r="E159">
        <v>877915.56415498257</v>
      </c>
      <c r="F159">
        <v>1390521.6409193268</v>
      </c>
      <c r="G159">
        <v>1536003.1327603499</v>
      </c>
      <c r="H159">
        <v>1495918.3685242324</v>
      </c>
      <c r="I159">
        <v>1913529.5354249291</v>
      </c>
    </row>
    <row r="160" spans="1:9" x14ac:dyDescent="0.25">
      <c r="A160" s="19">
        <v>127</v>
      </c>
      <c r="B160" s="46">
        <f t="shared" si="7"/>
        <v>0.10648200930656038</v>
      </c>
      <c r="C160" s="46">
        <f t="shared" si="8"/>
        <v>411946.90461625811</v>
      </c>
      <c r="D160" s="47">
        <f t="shared" si="9"/>
        <v>-5525000</v>
      </c>
      <c r="E160">
        <v>1376921.542026985</v>
      </c>
      <c r="F160">
        <v>1370769.1212993846</v>
      </c>
      <c r="G160">
        <v>1320385.870049329</v>
      </c>
      <c r="H160">
        <v>1616262.2527154754</v>
      </c>
      <c r="I160">
        <v>1837600.5976210916</v>
      </c>
    </row>
    <row r="161" spans="1:9" x14ac:dyDescent="0.25">
      <c r="A161" s="19">
        <v>128</v>
      </c>
      <c r="B161" s="46">
        <f t="shared" si="7"/>
        <v>9.3015215796957262E-2</v>
      </c>
      <c r="C161" s="46">
        <f t="shared" si="8"/>
        <v>205872.38061051536</v>
      </c>
      <c r="D161" s="47">
        <f t="shared" si="9"/>
        <v>-5525000</v>
      </c>
      <c r="E161">
        <v>1139511.0241155</v>
      </c>
      <c r="F161">
        <v>1376963.8033999978</v>
      </c>
      <c r="G161">
        <v>1412830.6632031742</v>
      </c>
      <c r="H161">
        <v>1465640.0393469967</v>
      </c>
      <c r="I161">
        <v>1904844.7705176994</v>
      </c>
    </row>
    <row r="162" spans="1:9" x14ac:dyDescent="0.25">
      <c r="A162" s="19">
        <v>129</v>
      </c>
      <c r="B162" s="46">
        <f t="shared" ref="B162:B225" si="10">IRR(D162:I162)</f>
        <v>0.14294033945432338</v>
      </c>
      <c r="C162" s="46">
        <f t="shared" ref="C162:C225" si="11">NPV($C$14,E162:I162)+D162</f>
        <v>995263.25865405612</v>
      </c>
      <c r="D162" s="47">
        <f t="shared" si="9"/>
        <v>-5525000</v>
      </c>
      <c r="E162">
        <v>1432191.0803063749</v>
      </c>
      <c r="F162">
        <v>1513359.018522318</v>
      </c>
      <c r="G162">
        <v>1713392.2867927756</v>
      </c>
      <c r="H162">
        <v>1701480.4851861272</v>
      </c>
      <c r="I162">
        <v>1889429.5174436746</v>
      </c>
    </row>
    <row r="163" spans="1:9" x14ac:dyDescent="0.25">
      <c r="A163" s="19">
        <v>130</v>
      </c>
      <c r="B163" s="46">
        <f t="shared" si="10"/>
        <v>0.10299391513598133</v>
      </c>
      <c r="C163" s="46">
        <f t="shared" si="11"/>
        <v>375378.00359892473</v>
      </c>
      <c r="D163" s="47">
        <f t="shared" ref="D163:D226" si="12">$F$28</f>
        <v>-5525000</v>
      </c>
      <c r="E163">
        <v>1079935.937917917</v>
      </c>
      <c r="F163">
        <v>1323867.161649981</v>
      </c>
      <c r="G163">
        <v>1447126.0031044655</v>
      </c>
      <c r="H163">
        <v>1722601.1690546302</v>
      </c>
      <c r="I163">
        <v>1984321.7608399908</v>
      </c>
    </row>
    <row r="164" spans="1:9" x14ac:dyDescent="0.25">
      <c r="A164" s="19">
        <v>131</v>
      </c>
      <c r="B164" s="46">
        <f t="shared" si="10"/>
        <v>0.12135567068177222</v>
      </c>
      <c r="C164" s="46">
        <f t="shared" si="11"/>
        <v>677987.71940062847</v>
      </c>
      <c r="D164" s="47">
        <f t="shared" si="12"/>
        <v>-5525000</v>
      </c>
      <c r="E164">
        <v>1239088.4157811617</v>
      </c>
      <c r="F164">
        <v>1489174.0764732854</v>
      </c>
      <c r="G164">
        <v>1311329.6902432628</v>
      </c>
      <c r="H164">
        <v>1574754.3356120305</v>
      </c>
      <c r="I164">
        <v>2322257.8186437357</v>
      </c>
    </row>
    <row r="165" spans="1:9" x14ac:dyDescent="0.25">
      <c r="A165" s="19">
        <v>132</v>
      </c>
      <c r="B165" s="46">
        <f t="shared" si="10"/>
        <v>0.11453758444824924</v>
      </c>
      <c r="C165" s="46">
        <f t="shared" si="11"/>
        <v>557280.74327287078</v>
      </c>
      <c r="D165" s="47">
        <f t="shared" si="12"/>
        <v>-5525000</v>
      </c>
      <c r="E165">
        <v>1242220.5450038111</v>
      </c>
      <c r="F165">
        <v>1264380.7511858209</v>
      </c>
      <c r="G165">
        <v>1615381.7271245932</v>
      </c>
      <c r="H165">
        <v>1678677.0087456689</v>
      </c>
      <c r="I165">
        <v>1956930.5089066955</v>
      </c>
    </row>
    <row r="166" spans="1:9" x14ac:dyDescent="0.25">
      <c r="A166" s="19">
        <v>133</v>
      </c>
      <c r="B166" s="46">
        <f t="shared" si="10"/>
        <v>0.10431423320726085</v>
      </c>
      <c r="C166" s="46">
        <f t="shared" si="11"/>
        <v>381967.97259901464</v>
      </c>
      <c r="D166" s="47">
        <f t="shared" si="12"/>
        <v>-5525000</v>
      </c>
      <c r="E166">
        <v>1184585.4110051098</v>
      </c>
      <c r="F166">
        <v>1587901.5453401404</v>
      </c>
      <c r="G166">
        <v>1310896.5433915434</v>
      </c>
      <c r="H166">
        <v>1512278.3592197238</v>
      </c>
      <c r="I166">
        <v>1905069.5293958751</v>
      </c>
    </row>
    <row r="167" spans="1:9" x14ac:dyDescent="0.25">
      <c r="A167" s="19">
        <v>134</v>
      </c>
      <c r="B167" s="46">
        <f t="shared" si="10"/>
        <v>0.12697998053879678</v>
      </c>
      <c r="C167" s="46">
        <f t="shared" si="11"/>
        <v>721094.39943686593</v>
      </c>
      <c r="D167" s="47">
        <f t="shared" si="12"/>
        <v>-5525000</v>
      </c>
      <c r="E167">
        <v>1577878.1480493583</v>
      </c>
      <c r="F167">
        <v>1430304.3034169273</v>
      </c>
      <c r="G167">
        <v>1583316.9229794</v>
      </c>
      <c r="H167">
        <v>1241132.1817090511</v>
      </c>
      <c r="I167">
        <v>2041900.9609145331</v>
      </c>
    </row>
    <row r="168" spans="1:9" x14ac:dyDescent="0.25">
      <c r="A168" s="19">
        <v>135</v>
      </c>
      <c r="B168" s="46">
        <f t="shared" si="10"/>
        <v>0.11882514029000335</v>
      </c>
      <c r="C168" s="46">
        <f t="shared" si="11"/>
        <v>631294.46683730558</v>
      </c>
      <c r="D168" s="47">
        <f t="shared" si="12"/>
        <v>-5525000</v>
      </c>
      <c r="E168">
        <v>1216457.3454301083</v>
      </c>
      <c r="F168">
        <v>1400261.1354635188</v>
      </c>
      <c r="G168">
        <v>1557323.3370290543</v>
      </c>
      <c r="H168">
        <v>1523020.7422028771</v>
      </c>
      <c r="I168">
        <v>2165389.423037156</v>
      </c>
    </row>
    <row r="169" spans="1:9" x14ac:dyDescent="0.25">
      <c r="A169" s="19">
        <v>136</v>
      </c>
      <c r="B169" s="46">
        <f t="shared" si="10"/>
        <v>0.12357819071186338</v>
      </c>
      <c r="C169" s="46">
        <f t="shared" si="11"/>
        <v>695583.99756707344</v>
      </c>
      <c r="D169" s="47">
        <f t="shared" si="12"/>
        <v>-5525000</v>
      </c>
      <c r="E169">
        <v>1350071.2120675691</v>
      </c>
      <c r="F169">
        <v>1484615.2911240675</v>
      </c>
      <c r="G169">
        <v>1468031.4777891615</v>
      </c>
      <c r="H169">
        <v>1420282.0606406904</v>
      </c>
      <c r="I169">
        <v>2186917.5036886344</v>
      </c>
    </row>
    <row r="170" spans="1:9" x14ac:dyDescent="0.25">
      <c r="A170" s="19">
        <v>137</v>
      </c>
      <c r="B170" s="46">
        <f t="shared" si="10"/>
        <v>0.11859337194515596</v>
      </c>
      <c r="C170" s="46">
        <f t="shared" si="11"/>
        <v>631048.66780767962</v>
      </c>
      <c r="D170" s="47">
        <f t="shared" si="12"/>
        <v>-5525000</v>
      </c>
      <c r="E170">
        <v>1130798.2922461908</v>
      </c>
      <c r="F170">
        <v>1370273.2193132429</v>
      </c>
      <c r="G170">
        <v>1676922.6861200584</v>
      </c>
      <c r="H170">
        <v>1676183.1742734076</v>
      </c>
      <c r="I170">
        <v>2014426.4902160256</v>
      </c>
    </row>
    <row r="171" spans="1:9" x14ac:dyDescent="0.25">
      <c r="A171" s="19">
        <v>138</v>
      </c>
      <c r="B171" s="46">
        <f t="shared" si="10"/>
        <v>0.11764925576950613</v>
      </c>
      <c r="C171" s="46">
        <f t="shared" si="11"/>
        <v>613840.00579822995</v>
      </c>
      <c r="D171" s="47">
        <f t="shared" si="12"/>
        <v>-5525000</v>
      </c>
      <c r="E171">
        <v>1399230.6512536108</v>
      </c>
      <c r="F171">
        <v>1161389.0027228659</v>
      </c>
      <c r="G171">
        <v>1358935.5987918386</v>
      </c>
      <c r="H171">
        <v>1719089.2689505718</v>
      </c>
      <c r="I171">
        <v>2211637.5696828226</v>
      </c>
    </row>
    <row r="172" spans="1:9" x14ac:dyDescent="0.25">
      <c r="A172" s="19">
        <v>139</v>
      </c>
      <c r="B172" s="46">
        <f t="shared" si="10"/>
        <v>0.10316491660472704</v>
      </c>
      <c r="C172" s="46">
        <f t="shared" si="11"/>
        <v>375282.10081870388</v>
      </c>
      <c r="D172" s="47">
        <f t="shared" si="12"/>
        <v>-5525000</v>
      </c>
      <c r="E172">
        <v>1166856.5739400312</v>
      </c>
      <c r="F172">
        <v>1277837.8053235097</v>
      </c>
      <c r="G172">
        <v>1331624.1550186239</v>
      </c>
      <c r="H172">
        <v>1880282.3118640818</v>
      </c>
      <c r="I172">
        <v>1888335.7363779549</v>
      </c>
    </row>
    <row r="173" spans="1:9" x14ac:dyDescent="0.25">
      <c r="A173" s="19">
        <v>140</v>
      </c>
      <c r="B173" s="46">
        <f t="shared" si="10"/>
        <v>0.13091155813201349</v>
      </c>
      <c r="C173" s="46">
        <f t="shared" si="11"/>
        <v>806062.37401193939</v>
      </c>
      <c r="D173" s="47">
        <f t="shared" si="12"/>
        <v>-5525000</v>
      </c>
      <c r="E173">
        <v>1397020.5791283026</v>
      </c>
      <c r="F173">
        <v>1388914.7343115506</v>
      </c>
      <c r="G173">
        <v>1682345.5482793795</v>
      </c>
      <c r="H173">
        <v>1669358.5534049789</v>
      </c>
      <c r="I173">
        <v>1886948.9843314267</v>
      </c>
    </row>
    <row r="174" spans="1:9" x14ac:dyDescent="0.25">
      <c r="A174" s="19">
        <v>141</v>
      </c>
      <c r="B174" s="46">
        <f t="shared" si="10"/>
        <v>0.12812783042275089</v>
      </c>
      <c r="C174" s="46">
        <f t="shared" si="11"/>
        <v>772934.68467650376</v>
      </c>
      <c r="D174" s="47">
        <f t="shared" si="12"/>
        <v>-5525000</v>
      </c>
      <c r="E174">
        <v>1321366.536098076</v>
      </c>
      <c r="F174">
        <v>1412994.2886620152</v>
      </c>
      <c r="G174">
        <v>1609806.4109158874</v>
      </c>
      <c r="H174">
        <v>1649115.2477065925</v>
      </c>
      <c r="I174">
        <v>2017339.1469984534</v>
      </c>
    </row>
    <row r="175" spans="1:9" x14ac:dyDescent="0.25">
      <c r="A175" s="19">
        <v>142</v>
      </c>
      <c r="B175" s="46">
        <f t="shared" si="10"/>
        <v>0.12147917748586901</v>
      </c>
      <c r="C175" s="46">
        <f t="shared" si="11"/>
        <v>655953.49776839744</v>
      </c>
      <c r="D175" s="47">
        <f t="shared" si="12"/>
        <v>-5525000</v>
      </c>
      <c r="E175">
        <v>1425346.3368676696</v>
      </c>
      <c r="F175">
        <v>1427054.6788474927</v>
      </c>
      <c r="G175">
        <v>1359693.4352520909</v>
      </c>
      <c r="H175">
        <v>1559737.7822778954</v>
      </c>
      <c r="I175">
        <v>2074539.4288428696</v>
      </c>
    </row>
    <row r="176" spans="1:9" x14ac:dyDescent="0.25">
      <c r="A176" s="19">
        <v>143</v>
      </c>
      <c r="B176" s="46">
        <f t="shared" si="10"/>
        <v>0.11722805599289465</v>
      </c>
      <c r="C176" s="46">
        <f t="shared" si="11"/>
        <v>620497.95537839364</v>
      </c>
      <c r="D176" s="47">
        <f t="shared" si="12"/>
        <v>-5525000</v>
      </c>
      <c r="E176">
        <v>1001762.8219374549</v>
      </c>
      <c r="F176">
        <v>1469229.5397844315</v>
      </c>
      <c r="G176">
        <v>1559702.5751688923</v>
      </c>
      <c r="H176">
        <v>1713231.5546369655</v>
      </c>
      <c r="I176">
        <v>2146532.1872642715</v>
      </c>
    </row>
    <row r="177" spans="1:9" x14ac:dyDescent="0.25">
      <c r="A177" s="19">
        <v>144</v>
      </c>
      <c r="B177" s="46">
        <f t="shared" si="10"/>
        <v>0.1209621340608984</v>
      </c>
      <c r="C177" s="46">
        <f t="shared" si="11"/>
        <v>670435.59348273557</v>
      </c>
      <c r="D177" s="47">
        <f t="shared" si="12"/>
        <v>-5525000</v>
      </c>
      <c r="E177">
        <v>1151112.1974708023</v>
      </c>
      <c r="F177">
        <v>1417953.8201142019</v>
      </c>
      <c r="G177">
        <v>1636868.5394539787</v>
      </c>
      <c r="H177">
        <v>1602191.630714603</v>
      </c>
      <c r="I177">
        <v>2111228.1608952954</v>
      </c>
    </row>
    <row r="178" spans="1:9" x14ac:dyDescent="0.25">
      <c r="A178" s="19">
        <v>145</v>
      </c>
      <c r="B178" s="46">
        <f t="shared" si="10"/>
        <v>0.11989308092923823</v>
      </c>
      <c r="C178" s="46">
        <f t="shared" si="11"/>
        <v>642821.9189719446</v>
      </c>
      <c r="D178" s="47">
        <f t="shared" si="12"/>
        <v>-5525000</v>
      </c>
      <c r="E178">
        <v>1236764.7705049696</v>
      </c>
      <c r="F178">
        <v>1372302.5293665738</v>
      </c>
      <c r="G178">
        <v>1640061.547978228</v>
      </c>
      <c r="H178">
        <v>1613083.0571420093</v>
      </c>
      <c r="I178">
        <v>1996145.6467103898</v>
      </c>
    </row>
    <row r="179" spans="1:9" x14ac:dyDescent="0.25">
      <c r="A179" s="19">
        <v>146</v>
      </c>
      <c r="B179" s="46">
        <f t="shared" si="10"/>
        <v>0.13022432018490204</v>
      </c>
      <c r="C179" s="46">
        <f t="shared" si="11"/>
        <v>803836.46833574399</v>
      </c>
      <c r="D179" s="47">
        <f t="shared" si="12"/>
        <v>-5525000</v>
      </c>
      <c r="E179">
        <v>1275260.7822166558</v>
      </c>
      <c r="F179">
        <v>1458092.5497875465</v>
      </c>
      <c r="G179">
        <v>1717644.6292709149</v>
      </c>
      <c r="H179">
        <v>1701330.9301511045</v>
      </c>
      <c r="I179">
        <v>1886484.118851983</v>
      </c>
    </row>
    <row r="180" spans="1:9" x14ac:dyDescent="0.25">
      <c r="A180" s="19">
        <v>147</v>
      </c>
      <c r="B180" s="46">
        <f t="shared" si="10"/>
        <v>0.10801892233267796</v>
      </c>
      <c r="C180" s="46">
        <f t="shared" si="11"/>
        <v>467672.10405286774</v>
      </c>
      <c r="D180" s="47">
        <f t="shared" si="12"/>
        <v>-5525000</v>
      </c>
      <c r="E180">
        <v>906597.38907009363</v>
      </c>
      <c r="F180">
        <v>1549674.4598430847</v>
      </c>
      <c r="G180">
        <v>1404361.6190705213</v>
      </c>
      <c r="H180">
        <v>1673499.7101558265</v>
      </c>
      <c r="I180">
        <v>2174215.0459363228</v>
      </c>
    </row>
    <row r="181" spans="1:9" x14ac:dyDescent="0.25">
      <c r="A181" s="19">
        <v>148</v>
      </c>
      <c r="B181" s="46">
        <f t="shared" si="10"/>
        <v>9.9985862255887792E-2</v>
      </c>
      <c r="C181" s="46">
        <f t="shared" si="11"/>
        <v>315597.95583495498</v>
      </c>
      <c r="D181" s="47">
        <f t="shared" si="12"/>
        <v>-5525000</v>
      </c>
      <c r="E181">
        <v>1531690.3691145219</v>
      </c>
      <c r="F181">
        <v>1143996.9629145376</v>
      </c>
      <c r="G181">
        <v>1048612.141194433</v>
      </c>
      <c r="H181">
        <v>1499821.4650368909</v>
      </c>
      <c r="I181">
        <v>2213891.638614329</v>
      </c>
    </row>
    <row r="182" spans="1:9" x14ac:dyDescent="0.25">
      <c r="A182" s="19">
        <v>149</v>
      </c>
      <c r="B182" s="46">
        <f t="shared" si="10"/>
        <v>0.10110647804749884</v>
      </c>
      <c r="C182" s="46">
        <f t="shared" si="11"/>
        <v>338022.49642177578</v>
      </c>
      <c r="D182" s="47">
        <f t="shared" si="12"/>
        <v>-5525000</v>
      </c>
      <c r="E182">
        <v>1341008.2110512396</v>
      </c>
      <c r="F182">
        <v>1156955.8981727492</v>
      </c>
      <c r="G182">
        <v>1293462.8942006091</v>
      </c>
      <c r="H182">
        <v>1642996.9631609283</v>
      </c>
      <c r="I182">
        <v>2049713.6340896003</v>
      </c>
    </row>
    <row r="183" spans="1:9" x14ac:dyDescent="0.25">
      <c r="A183" s="19">
        <v>150</v>
      </c>
      <c r="B183" s="46">
        <f t="shared" si="10"/>
        <v>0.10725402997852918</v>
      </c>
      <c r="C183" s="46">
        <f t="shared" si="11"/>
        <v>426008.87873958331</v>
      </c>
      <c r="D183" s="47">
        <f t="shared" si="12"/>
        <v>-5525000</v>
      </c>
      <c r="E183">
        <v>1459541.0639175773</v>
      </c>
      <c r="F183">
        <v>1390521.6409193268</v>
      </c>
      <c r="G183">
        <v>1107989.4122943804</v>
      </c>
      <c r="H183">
        <v>1511218.0020842943</v>
      </c>
      <c r="I183">
        <v>2082163.8366146698</v>
      </c>
    </row>
    <row r="184" spans="1:9" x14ac:dyDescent="0.25">
      <c r="A184" s="19">
        <v>151</v>
      </c>
      <c r="B184" s="46">
        <f t="shared" si="10"/>
        <v>0.12475369019665261</v>
      </c>
      <c r="C184" s="46">
        <f t="shared" si="11"/>
        <v>740965.80101160239</v>
      </c>
      <c r="D184" s="47">
        <f t="shared" si="12"/>
        <v>-5525000</v>
      </c>
      <c r="E184">
        <v>1183528.9760655817</v>
      </c>
      <c r="F184">
        <v>1403757.6878444848</v>
      </c>
      <c r="G184">
        <v>1501253.6707857796</v>
      </c>
      <c r="H184">
        <v>1730181.5800202321</v>
      </c>
      <c r="I184">
        <v>2208592.5814212868</v>
      </c>
    </row>
    <row r="185" spans="1:9" x14ac:dyDescent="0.25">
      <c r="A185" s="19">
        <v>152</v>
      </c>
      <c r="B185" s="46">
        <f t="shared" si="10"/>
        <v>0.12339942878633092</v>
      </c>
      <c r="C185" s="46">
        <f t="shared" si="11"/>
        <v>720552.91887150798</v>
      </c>
      <c r="D185" s="47">
        <f t="shared" si="12"/>
        <v>-5525000</v>
      </c>
      <c r="E185">
        <v>1270782.1460880316</v>
      </c>
      <c r="F185">
        <v>1329342.2060678164</v>
      </c>
      <c r="G185">
        <v>1323474.1729960367</v>
      </c>
      <c r="H185">
        <v>1776019.7719290745</v>
      </c>
      <c r="I185">
        <v>2311491.2203641478</v>
      </c>
    </row>
    <row r="186" spans="1:9" x14ac:dyDescent="0.25">
      <c r="A186" s="19">
        <v>153</v>
      </c>
      <c r="B186" s="46">
        <f t="shared" si="10"/>
        <v>0.12908296987371992</v>
      </c>
      <c r="C186" s="46">
        <f t="shared" si="11"/>
        <v>794664.7229087241</v>
      </c>
      <c r="D186" s="47">
        <f t="shared" si="12"/>
        <v>-5525000</v>
      </c>
      <c r="E186">
        <v>1371145.6822365383</v>
      </c>
      <c r="F186">
        <v>1403364.9566635755</v>
      </c>
      <c r="G186">
        <v>1438039.1278522145</v>
      </c>
      <c r="H186">
        <v>1661309.5252942885</v>
      </c>
      <c r="I186">
        <v>2180853.4477645634</v>
      </c>
    </row>
    <row r="187" spans="1:9" x14ac:dyDescent="0.25">
      <c r="A187" s="19">
        <v>154</v>
      </c>
      <c r="B187" s="46">
        <f t="shared" si="10"/>
        <v>9.3580645468778645E-2</v>
      </c>
      <c r="C187" s="46">
        <f t="shared" si="11"/>
        <v>213835.06883442681</v>
      </c>
      <c r="D187" s="47">
        <f t="shared" si="12"/>
        <v>-5525000</v>
      </c>
      <c r="E187">
        <v>1193521.3669802854</v>
      </c>
      <c r="F187">
        <v>1426090.8418372888</v>
      </c>
      <c r="G187">
        <v>1357443.1179862292</v>
      </c>
      <c r="H187">
        <v>1273189.1414624415</v>
      </c>
      <c r="I187">
        <v>2053629.1793109893</v>
      </c>
    </row>
    <row r="188" spans="1:9" x14ac:dyDescent="0.25">
      <c r="A188" s="19">
        <v>155</v>
      </c>
      <c r="B188" s="46">
        <f t="shared" si="10"/>
        <v>0.11499968400796079</v>
      </c>
      <c r="C188" s="46">
        <f t="shared" si="11"/>
        <v>568447.07035246119</v>
      </c>
      <c r="D188" s="47">
        <f t="shared" si="12"/>
        <v>-5525000</v>
      </c>
      <c r="E188">
        <v>1143112.6231345208</v>
      </c>
      <c r="F188">
        <v>1423895.4353140467</v>
      </c>
      <c r="G188">
        <v>1600199.7594415732</v>
      </c>
      <c r="H188">
        <v>1531393.0956800478</v>
      </c>
      <c r="I188">
        <v>2084005.0517949902</v>
      </c>
    </row>
    <row r="189" spans="1:9" x14ac:dyDescent="0.25">
      <c r="A189" s="19">
        <v>156</v>
      </c>
      <c r="B189" s="46">
        <f t="shared" si="10"/>
        <v>0.11418449320681745</v>
      </c>
      <c r="C189" s="46">
        <f t="shared" si="11"/>
        <v>541729.86210427526</v>
      </c>
      <c r="D189" s="47">
        <f t="shared" si="12"/>
        <v>-5525000</v>
      </c>
      <c r="E189">
        <v>1345908.227443879</v>
      </c>
      <c r="F189">
        <v>1320789.9431699512</v>
      </c>
      <c r="G189">
        <v>1498926.6149044558</v>
      </c>
      <c r="H189">
        <v>1585302.6551631929</v>
      </c>
      <c r="I189">
        <v>1958633.4240489276</v>
      </c>
    </row>
    <row r="190" spans="1:9" x14ac:dyDescent="0.25">
      <c r="A190" s="19">
        <v>157</v>
      </c>
      <c r="B190" s="46">
        <f t="shared" si="10"/>
        <v>0.11817388834653575</v>
      </c>
      <c r="C190" s="46">
        <f t="shared" si="11"/>
        <v>604476.77551496681</v>
      </c>
      <c r="D190" s="47">
        <f t="shared" si="12"/>
        <v>-5525000</v>
      </c>
      <c r="E190">
        <v>1271926.4041096997</v>
      </c>
      <c r="F190">
        <v>1508957.2915394125</v>
      </c>
      <c r="G190">
        <v>1428050.8296636688</v>
      </c>
      <c r="H190">
        <v>1704402.5211326671</v>
      </c>
      <c r="I190">
        <v>1868485.6734512476</v>
      </c>
    </row>
    <row r="191" spans="1:9" x14ac:dyDescent="0.25">
      <c r="A191" s="19">
        <v>158</v>
      </c>
      <c r="B191" s="46">
        <f t="shared" si="10"/>
        <v>0.1088327847456465</v>
      </c>
      <c r="C191" s="46">
        <f t="shared" si="11"/>
        <v>466254.95431213081</v>
      </c>
      <c r="D191" s="47">
        <f t="shared" si="12"/>
        <v>-5525000</v>
      </c>
      <c r="E191">
        <v>1203727.4323064869</v>
      </c>
      <c r="F191">
        <v>1393473.0080699988</v>
      </c>
      <c r="G191">
        <v>1443273.7246082686</v>
      </c>
      <c r="H191">
        <v>1404928.5395195484</v>
      </c>
      <c r="I191">
        <v>2209329.2721297229</v>
      </c>
    </row>
    <row r="192" spans="1:9" x14ac:dyDescent="0.25">
      <c r="A192" s="19">
        <v>159</v>
      </c>
      <c r="B192" s="46">
        <f t="shared" si="10"/>
        <v>0.11284073781230819</v>
      </c>
      <c r="C192" s="46">
        <f t="shared" si="11"/>
        <v>530692.7316490626</v>
      </c>
      <c r="D192" s="47">
        <f t="shared" si="12"/>
        <v>-5525000</v>
      </c>
      <c r="E192">
        <v>1292011.287199721</v>
      </c>
      <c r="F192">
        <v>1281849.1885490981</v>
      </c>
      <c r="G192">
        <v>1282373.6526755672</v>
      </c>
      <c r="H192">
        <v>1947501.2462827154</v>
      </c>
      <c r="I192">
        <v>1926209.4831833718</v>
      </c>
    </row>
    <row r="193" spans="1:9" x14ac:dyDescent="0.25">
      <c r="A193" s="19">
        <v>160</v>
      </c>
      <c r="B193" s="46">
        <f t="shared" si="10"/>
        <v>0.1091779008500855</v>
      </c>
      <c r="C193" s="46">
        <f t="shared" si="11"/>
        <v>459715.4660912836</v>
      </c>
      <c r="D193" s="47">
        <f t="shared" si="12"/>
        <v>-5525000</v>
      </c>
      <c r="E193">
        <v>1414332.4697160372</v>
      </c>
      <c r="F193">
        <v>1232360.6259678523</v>
      </c>
      <c r="G193">
        <v>1376452.4667479852</v>
      </c>
      <c r="H193">
        <v>1655944.3023616923</v>
      </c>
      <c r="I193">
        <v>1922993.2825442273</v>
      </c>
    </row>
    <row r="194" spans="1:9" x14ac:dyDescent="0.25">
      <c r="A194" s="19">
        <v>161</v>
      </c>
      <c r="B194" s="46">
        <f t="shared" si="10"/>
        <v>0.11211673903832309</v>
      </c>
      <c r="C194" s="46">
        <f t="shared" si="11"/>
        <v>528608.79102511145</v>
      </c>
      <c r="D194" s="47">
        <f t="shared" si="12"/>
        <v>-5525000</v>
      </c>
      <c r="E194">
        <v>1185374.4545023167</v>
      </c>
      <c r="F194">
        <v>1316983.8783732881</v>
      </c>
      <c r="G194">
        <v>1478921.0283837453</v>
      </c>
      <c r="H194">
        <v>1469193.8898941744</v>
      </c>
      <c r="I194">
        <v>2311285.2198141962</v>
      </c>
    </row>
    <row r="195" spans="1:9" x14ac:dyDescent="0.25">
      <c r="A195" s="19">
        <v>162</v>
      </c>
      <c r="B195" s="46">
        <f t="shared" si="10"/>
        <v>0.132090449010412</v>
      </c>
      <c r="C195" s="46">
        <f t="shared" si="11"/>
        <v>830805.59027319215</v>
      </c>
      <c r="D195" s="47">
        <f t="shared" si="12"/>
        <v>-5525000</v>
      </c>
      <c r="E195">
        <v>1451748.8543733</v>
      </c>
      <c r="F195">
        <v>1260218.7897436703</v>
      </c>
      <c r="G195">
        <v>1704964.6815124722</v>
      </c>
      <c r="H195">
        <v>1694334.7558445539</v>
      </c>
      <c r="I195">
        <v>1957610.2425094331</v>
      </c>
    </row>
    <row r="196" spans="1:9" x14ac:dyDescent="0.25">
      <c r="A196" s="19">
        <v>163</v>
      </c>
      <c r="B196" s="46">
        <f t="shared" si="10"/>
        <v>0.13465156618503227</v>
      </c>
      <c r="C196" s="46">
        <f t="shared" si="11"/>
        <v>853524.41115330625</v>
      </c>
      <c r="D196" s="47">
        <f t="shared" si="12"/>
        <v>-5525000</v>
      </c>
      <c r="E196">
        <v>1495252.8281300422</v>
      </c>
      <c r="F196">
        <v>1449955.1870039464</v>
      </c>
      <c r="G196">
        <v>1612213.9570783181</v>
      </c>
      <c r="H196">
        <v>1606243.600141258</v>
      </c>
      <c r="I196">
        <v>1896114.6445622188</v>
      </c>
    </row>
    <row r="197" spans="1:9" x14ac:dyDescent="0.25">
      <c r="A197" s="19">
        <v>164</v>
      </c>
      <c r="B197" s="46">
        <f t="shared" si="10"/>
        <v>0.12293515957729273</v>
      </c>
      <c r="C197" s="46">
        <f t="shared" si="11"/>
        <v>702217.88602539245</v>
      </c>
      <c r="D197" s="47">
        <f t="shared" si="12"/>
        <v>-5525000</v>
      </c>
      <c r="E197">
        <v>1177545.7514831307</v>
      </c>
      <c r="F197">
        <v>1461536.4083192286</v>
      </c>
      <c r="G197">
        <v>1548573.4295638101</v>
      </c>
      <c r="H197">
        <v>1633220.9751418277</v>
      </c>
      <c r="I197">
        <v>2136538.4321075152</v>
      </c>
    </row>
    <row r="198" spans="1:9" x14ac:dyDescent="0.25">
      <c r="A198" s="19">
        <v>165</v>
      </c>
      <c r="B198" s="46">
        <f t="shared" si="10"/>
        <v>0.1294705960960516</v>
      </c>
      <c r="C198" s="46">
        <f t="shared" si="11"/>
        <v>775798.89644657727</v>
      </c>
      <c r="D198" s="47">
        <f t="shared" si="12"/>
        <v>-5525000</v>
      </c>
      <c r="E198">
        <v>1414559.9570783181</v>
      </c>
      <c r="F198">
        <v>1464862.6009738687</v>
      </c>
      <c r="G198">
        <v>1604130.8229163112</v>
      </c>
      <c r="H198">
        <v>1604815.2387121236</v>
      </c>
      <c r="I198">
        <v>1883883.8734996142</v>
      </c>
    </row>
    <row r="199" spans="1:9" x14ac:dyDescent="0.25">
      <c r="A199" s="19">
        <v>166</v>
      </c>
      <c r="B199" s="46">
        <f t="shared" si="10"/>
        <v>0.10132093422045063</v>
      </c>
      <c r="C199" s="46">
        <f t="shared" si="11"/>
        <v>328751.40430937894</v>
      </c>
      <c r="D199" s="47">
        <f t="shared" si="12"/>
        <v>-5525000</v>
      </c>
      <c r="E199">
        <v>1185009.5197532303</v>
      </c>
      <c r="F199">
        <v>1542619.2820677566</v>
      </c>
      <c r="G199">
        <v>1446912.1581627112</v>
      </c>
      <c r="H199">
        <v>1629552.6987924832</v>
      </c>
      <c r="I199">
        <v>1598037.6468110234</v>
      </c>
    </row>
    <row r="200" spans="1:9" x14ac:dyDescent="0.25">
      <c r="A200" s="19">
        <v>167</v>
      </c>
      <c r="B200" s="46">
        <f t="shared" si="10"/>
        <v>0.12231339770587524</v>
      </c>
      <c r="C200" s="46">
        <f t="shared" si="11"/>
        <v>677610.81585496478</v>
      </c>
      <c r="D200" s="47">
        <f t="shared" si="12"/>
        <v>-5525000</v>
      </c>
      <c r="E200">
        <v>1475068.1848399201</v>
      </c>
      <c r="F200">
        <v>1110698.5428932272</v>
      </c>
      <c r="G200">
        <v>1615282.3079850057</v>
      </c>
      <c r="H200">
        <v>1637033.8611487541</v>
      </c>
      <c r="I200">
        <v>2055634.1035376289</v>
      </c>
    </row>
    <row r="201" spans="1:9" x14ac:dyDescent="0.25">
      <c r="A201" s="19">
        <v>168</v>
      </c>
      <c r="B201" s="46">
        <f t="shared" si="10"/>
        <v>0.10952509619109185</v>
      </c>
      <c r="C201" s="46">
        <f t="shared" si="11"/>
        <v>476086.32240805589</v>
      </c>
      <c r="D201" s="47">
        <f t="shared" si="12"/>
        <v>-5525000</v>
      </c>
      <c r="E201">
        <v>1127328.3425852517</v>
      </c>
      <c r="F201">
        <v>1424962.4431294829</v>
      </c>
      <c r="G201">
        <v>1596449.7990993257</v>
      </c>
      <c r="H201">
        <v>1465852.8611072116</v>
      </c>
      <c r="I201">
        <v>2043584.4356075148</v>
      </c>
    </row>
    <row r="202" spans="1:9" x14ac:dyDescent="0.25">
      <c r="A202" s="19">
        <v>169</v>
      </c>
      <c r="B202" s="46">
        <f t="shared" si="10"/>
        <v>0.12491679248525789</v>
      </c>
      <c r="C202" s="46">
        <f t="shared" si="11"/>
        <v>690502.08350350335</v>
      </c>
      <c r="D202" s="47">
        <f t="shared" si="12"/>
        <v>-5525000</v>
      </c>
      <c r="E202">
        <v>1458430.5708867125</v>
      </c>
      <c r="F202">
        <v>1741881.499460727</v>
      </c>
      <c r="G202">
        <v>1188864.4096601345</v>
      </c>
      <c r="H202">
        <v>1460905.7783637554</v>
      </c>
      <c r="I202">
        <v>1989694.3165736201</v>
      </c>
    </row>
    <row r="203" spans="1:9" x14ac:dyDescent="0.25">
      <c r="A203" s="19">
        <v>170</v>
      </c>
      <c r="B203" s="46">
        <f t="shared" si="10"/>
        <v>0.11874512605479071</v>
      </c>
      <c r="C203" s="46">
        <f t="shared" si="11"/>
        <v>618206.47774688061</v>
      </c>
      <c r="D203" s="47">
        <f t="shared" si="12"/>
        <v>-5525000</v>
      </c>
      <c r="E203">
        <v>1323341.9585903268</v>
      </c>
      <c r="F203">
        <v>1475936.6653060748</v>
      </c>
      <c r="G203">
        <v>1338499.9349640273</v>
      </c>
      <c r="H203">
        <v>1603710.2026494695</v>
      </c>
      <c r="I203">
        <v>2073505.1628366972</v>
      </c>
    </row>
    <row r="204" spans="1:9" x14ac:dyDescent="0.25">
      <c r="A204" s="19">
        <v>171</v>
      </c>
      <c r="B204" s="46">
        <f t="shared" si="10"/>
        <v>0.12023673317245875</v>
      </c>
      <c r="C204" s="46">
        <f t="shared" si="11"/>
        <v>657617.5461760601</v>
      </c>
      <c r="D204" s="47">
        <f t="shared" si="12"/>
        <v>-5525000</v>
      </c>
      <c r="E204">
        <v>1166536.3181181694</v>
      </c>
      <c r="F204">
        <v>1488463.3063638499</v>
      </c>
      <c r="G204">
        <v>1484730.9942255085</v>
      </c>
      <c r="H204">
        <v>1589596.6070239383</v>
      </c>
      <c r="I204">
        <v>2173644.1106372848</v>
      </c>
    </row>
    <row r="205" spans="1:9" x14ac:dyDescent="0.25">
      <c r="A205" s="19">
        <v>172</v>
      </c>
      <c r="B205" s="46">
        <f t="shared" si="10"/>
        <v>9.3507850786565649E-2</v>
      </c>
      <c r="C205" s="46">
        <f t="shared" si="11"/>
        <v>218649.20796542894</v>
      </c>
      <c r="D205" s="47">
        <f t="shared" si="12"/>
        <v>-5525000</v>
      </c>
      <c r="E205">
        <v>957464.51824555174</v>
      </c>
      <c r="F205">
        <v>1457243.8207005358</v>
      </c>
      <c r="G205">
        <v>1434443.1563316609</v>
      </c>
      <c r="H205">
        <v>1554926.9532094486</v>
      </c>
      <c r="I205">
        <v>1948522.0030151294</v>
      </c>
    </row>
    <row r="206" spans="1:9" x14ac:dyDescent="0.25">
      <c r="A206" s="19">
        <v>173</v>
      </c>
      <c r="B206" s="46">
        <f t="shared" si="10"/>
        <v>0.10765076979874366</v>
      </c>
      <c r="C206" s="46">
        <f t="shared" si="11"/>
        <v>455554.03334587719</v>
      </c>
      <c r="D206" s="47">
        <f t="shared" si="12"/>
        <v>-5525000</v>
      </c>
      <c r="E206">
        <v>1146144.3100360432</v>
      </c>
      <c r="F206">
        <v>1288270.8464212224</v>
      </c>
      <c r="G206">
        <v>1421524.4662140028</v>
      </c>
      <c r="H206">
        <v>1615333.0333473578</v>
      </c>
      <c r="I206">
        <v>2202603.2177495989</v>
      </c>
    </row>
    <row r="207" spans="1:9" x14ac:dyDescent="0.25">
      <c r="A207" s="19">
        <v>174</v>
      </c>
      <c r="B207" s="46">
        <f t="shared" si="10"/>
        <v>0.13101968240408368</v>
      </c>
      <c r="C207" s="46">
        <f t="shared" si="11"/>
        <v>809187.61935397238</v>
      </c>
      <c r="D207" s="47">
        <f t="shared" si="12"/>
        <v>-5525000</v>
      </c>
      <c r="E207">
        <v>1429006.5982949547</v>
      </c>
      <c r="F207">
        <v>1485428.2088571959</v>
      </c>
      <c r="G207">
        <v>1550112.6356597231</v>
      </c>
      <c r="H207">
        <v>1400594.3425182495</v>
      </c>
      <c r="I207">
        <v>2170947.0040991772</v>
      </c>
    </row>
    <row r="208" spans="1:9" x14ac:dyDescent="0.25">
      <c r="A208" s="19">
        <v>175</v>
      </c>
      <c r="B208" s="46">
        <f t="shared" si="10"/>
        <v>0.1197416011691792</v>
      </c>
      <c r="C208" s="46">
        <f t="shared" si="11"/>
        <v>649441.67040799838</v>
      </c>
      <c r="D208" s="47">
        <f t="shared" si="12"/>
        <v>-5525000</v>
      </c>
      <c r="E208">
        <v>1260954.3168709299</v>
      </c>
      <c r="F208">
        <v>1270623.8638793034</v>
      </c>
      <c r="G208">
        <v>1513965.8487627164</v>
      </c>
      <c r="H208">
        <v>1786708.949472174</v>
      </c>
      <c r="I208">
        <v>2060610.5174852172</v>
      </c>
    </row>
    <row r="209" spans="1:9" x14ac:dyDescent="0.25">
      <c r="A209" s="19">
        <v>176</v>
      </c>
      <c r="B209" s="46">
        <f t="shared" si="10"/>
        <v>0.13564111013455737</v>
      </c>
      <c r="C209" s="46">
        <f t="shared" si="11"/>
        <v>903252.07408629078</v>
      </c>
      <c r="D209" s="47">
        <f t="shared" si="12"/>
        <v>-5525000</v>
      </c>
      <c r="E209">
        <v>1337659.6789329872</v>
      </c>
      <c r="F209">
        <v>1477106.3323359736</v>
      </c>
      <c r="G209">
        <v>1611564.5778612522</v>
      </c>
      <c r="H209">
        <v>1518921.8769556619</v>
      </c>
      <c r="I209">
        <v>2244446.9089282546</v>
      </c>
    </row>
    <row r="210" spans="1:9" x14ac:dyDescent="0.25">
      <c r="A210" s="19">
        <v>177</v>
      </c>
      <c r="B210" s="46">
        <f t="shared" si="10"/>
        <v>0.12823571487373786</v>
      </c>
      <c r="C210" s="46">
        <f t="shared" si="11"/>
        <v>777805.80074954685</v>
      </c>
      <c r="D210" s="47">
        <f t="shared" si="12"/>
        <v>-5525000</v>
      </c>
      <c r="E210">
        <v>1260989.2755735293</v>
      </c>
      <c r="F210">
        <v>1442567.8162887958</v>
      </c>
      <c r="G210">
        <v>1605083.4049295806</v>
      </c>
      <c r="H210">
        <v>1787455.8719960051</v>
      </c>
      <c r="I210">
        <v>1925485.9233046926</v>
      </c>
    </row>
    <row r="211" spans="1:9" x14ac:dyDescent="0.25">
      <c r="A211" s="19">
        <v>178</v>
      </c>
      <c r="B211" s="46">
        <f t="shared" si="10"/>
        <v>0.10086014118365427</v>
      </c>
      <c r="C211" s="46">
        <f t="shared" si="11"/>
        <v>336409.16035008337</v>
      </c>
      <c r="D211" s="47">
        <f t="shared" si="12"/>
        <v>-5525000</v>
      </c>
      <c r="E211">
        <v>1072481.7193421861</v>
      </c>
      <c r="F211">
        <v>1335216.6323465677</v>
      </c>
      <c r="G211">
        <v>1605224.2629215177</v>
      </c>
      <c r="H211">
        <v>1541528.220419511</v>
      </c>
      <c r="I211">
        <v>1934061.0372569398</v>
      </c>
    </row>
    <row r="212" spans="1:9" x14ac:dyDescent="0.25">
      <c r="A212" s="19">
        <v>179</v>
      </c>
      <c r="B212" s="46">
        <f t="shared" si="10"/>
        <v>0.13917180498178139</v>
      </c>
      <c r="C212" s="46">
        <f t="shared" si="11"/>
        <v>951229.92104865331</v>
      </c>
      <c r="D212" s="47">
        <f t="shared" si="12"/>
        <v>-5525000</v>
      </c>
      <c r="E212">
        <v>1381925.9229366528</v>
      </c>
      <c r="F212">
        <v>1562747.6503732065</v>
      </c>
      <c r="G212">
        <v>1498604.3127195151</v>
      </c>
      <c r="H212">
        <v>1657302.7463856279</v>
      </c>
      <c r="I212">
        <v>2129140.4885164564</v>
      </c>
    </row>
    <row r="213" spans="1:9" x14ac:dyDescent="0.25">
      <c r="A213" s="19">
        <v>180</v>
      </c>
      <c r="B213" s="46">
        <f t="shared" si="10"/>
        <v>0.12858194071044449</v>
      </c>
      <c r="C213" s="46">
        <f t="shared" si="11"/>
        <v>806873.94703808334</v>
      </c>
      <c r="D213" s="47">
        <f t="shared" si="12"/>
        <v>-5525000</v>
      </c>
      <c r="E213">
        <v>1177121.1311442405</v>
      </c>
      <c r="F213">
        <v>1386493.3751983368</v>
      </c>
      <c r="G213">
        <v>1541730.220897414</v>
      </c>
      <c r="H213">
        <v>1895102.0732821207</v>
      </c>
      <c r="I213">
        <v>2110573.1541797621</v>
      </c>
    </row>
    <row r="214" spans="1:9" x14ac:dyDescent="0.25">
      <c r="A214" s="19">
        <v>181</v>
      </c>
      <c r="B214" s="46">
        <f t="shared" si="10"/>
        <v>0.11802697001795437</v>
      </c>
      <c r="C214" s="46">
        <f t="shared" si="11"/>
        <v>564972.47742655687</v>
      </c>
      <c r="D214" s="47">
        <f t="shared" si="12"/>
        <v>-5525000</v>
      </c>
      <c r="E214">
        <v>1665421.5605685115</v>
      </c>
      <c r="F214">
        <v>1196387.26834179</v>
      </c>
      <c r="G214">
        <v>1807002.4837201051</v>
      </c>
      <c r="H214">
        <v>1342071.0869432669</v>
      </c>
      <c r="I214">
        <v>1618152.0316354334</v>
      </c>
    </row>
    <row r="215" spans="1:9" x14ac:dyDescent="0.25">
      <c r="A215" s="19">
        <v>182</v>
      </c>
      <c r="B215" s="46">
        <f t="shared" si="10"/>
        <v>0.11836163851089121</v>
      </c>
      <c r="C215" s="46">
        <f t="shared" si="11"/>
        <v>622327.26423998363</v>
      </c>
      <c r="D215" s="47">
        <f t="shared" si="12"/>
        <v>-5525000</v>
      </c>
      <c r="E215">
        <v>1274188.6584935221</v>
      </c>
      <c r="F215">
        <v>1413390.7715085694</v>
      </c>
      <c r="G215">
        <v>1388515.7770986259</v>
      </c>
      <c r="H215">
        <v>1566939.9571343975</v>
      </c>
      <c r="I215">
        <v>2206595.6721167066</v>
      </c>
    </row>
    <row r="216" spans="1:9" x14ac:dyDescent="0.25">
      <c r="A216" s="19">
        <v>183</v>
      </c>
      <c r="B216" s="46">
        <f t="shared" si="10"/>
        <v>0.11590991509642445</v>
      </c>
      <c r="C216" s="46">
        <f t="shared" si="11"/>
        <v>564837.52309728414</v>
      </c>
      <c r="D216" s="47">
        <f t="shared" si="12"/>
        <v>-5525000</v>
      </c>
      <c r="E216">
        <v>1361120.5495125707</v>
      </c>
      <c r="F216">
        <v>1537051.4691903405</v>
      </c>
      <c r="G216">
        <v>1283960.9483038364</v>
      </c>
      <c r="H216">
        <v>1468888.2996743787</v>
      </c>
      <c r="I216">
        <v>2075926.1808893979</v>
      </c>
    </row>
    <row r="217" spans="1:9" x14ac:dyDescent="0.25">
      <c r="A217" s="19">
        <v>184</v>
      </c>
      <c r="B217" s="46">
        <f t="shared" si="10"/>
        <v>0.15006982148600501</v>
      </c>
      <c r="C217" s="46">
        <f t="shared" si="11"/>
        <v>1110797.1716209585</v>
      </c>
      <c r="D217" s="47">
        <f t="shared" si="12"/>
        <v>-5525000</v>
      </c>
      <c r="E217">
        <v>1470388.1524782721</v>
      </c>
      <c r="F217">
        <v>1715030.4873802848</v>
      </c>
      <c r="G217">
        <v>1501899.2983372007</v>
      </c>
      <c r="H217">
        <v>1584107.7496553198</v>
      </c>
      <c r="I217">
        <v>2126620.0513241682</v>
      </c>
    </row>
    <row r="218" spans="1:9" x14ac:dyDescent="0.25">
      <c r="A218" s="19">
        <v>185</v>
      </c>
      <c r="B218" s="46">
        <f t="shared" si="10"/>
        <v>0.11036982362258407</v>
      </c>
      <c r="C218" s="46">
        <f t="shared" si="11"/>
        <v>471656.13503489736</v>
      </c>
      <c r="D218" s="47">
        <f t="shared" si="12"/>
        <v>-5525000</v>
      </c>
      <c r="E218">
        <v>1511729.461521036</v>
      </c>
      <c r="F218">
        <v>1271532.4490863746</v>
      </c>
      <c r="G218">
        <v>1332951.5625358615</v>
      </c>
      <c r="H218">
        <v>1498178.4060147193</v>
      </c>
      <c r="I218">
        <v>1979811.917674412</v>
      </c>
    </row>
    <row r="219" spans="1:9" x14ac:dyDescent="0.25">
      <c r="A219" s="19">
        <v>186</v>
      </c>
      <c r="B219" s="46">
        <f t="shared" si="10"/>
        <v>0.12386608409481492</v>
      </c>
      <c r="C219" s="46">
        <f t="shared" si="11"/>
        <v>717890.9931344334</v>
      </c>
      <c r="D219" s="47">
        <f t="shared" si="12"/>
        <v>-5525000</v>
      </c>
      <c r="E219">
        <v>1296052.6837504678</v>
      </c>
      <c r="F219">
        <v>1357227.3136241743</v>
      </c>
      <c r="G219">
        <v>1477495.7364992294</v>
      </c>
      <c r="H219">
        <v>1576486.2408978816</v>
      </c>
      <c r="I219">
        <v>2273917.9478708291</v>
      </c>
    </row>
    <row r="220" spans="1:9" x14ac:dyDescent="0.25">
      <c r="A220" s="19">
        <v>187</v>
      </c>
      <c r="B220" s="46">
        <f t="shared" si="10"/>
        <v>0.10133842061413079</v>
      </c>
      <c r="C220" s="46">
        <f t="shared" si="11"/>
        <v>338339.77326200064</v>
      </c>
      <c r="D220" s="47">
        <f t="shared" si="12"/>
        <v>-5525000</v>
      </c>
      <c r="E220">
        <v>1065710.9860348376</v>
      </c>
      <c r="F220">
        <v>1550445.9387238636</v>
      </c>
      <c r="G220">
        <v>1422758.7642111464</v>
      </c>
      <c r="H220">
        <v>1632816.136312701</v>
      </c>
      <c r="I220">
        <v>1789219.117465579</v>
      </c>
    </row>
    <row r="221" spans="1:9" x14ac:dyDescent="0.25">
      <c r="A221" s="19">
        <v>188</v>
      </c>
      <c r="B221" s="46">
        <f t="shared" si="10"/>
        <v>0.11549556527380833</v>
      </c>
      <c r="C221" s="46">
        <f t="shared" si="11"/>
        <v>554114.09784826916</v>
      </c>
      <c r="D221" s="47">
        <f t="shared" si="12"/>
        <v>-5525000</v>
      </c>
      <c r="E221">
        <v>1312541.0837291658</v>
      </c>
      <c r="F221">
        <v>1417906.9242936417</v>
      </c>
      <c r="G221">
        <v>1642203.06694039</v>
      </c>
      <c r="H221">
        <v>1520328.4105119538</v>
      </c>
      <c r="I221">
        <v>1802940.6640312271</v>
      </c>
    </row>
    <row r="222" spans="1:9" x14ac:dyDescent="0.25">
      <c r="A222" s="19">
        <v>189</v>
      </c>
      <c r="B222" s="46">
        <f t="shared" si="10"/>
        <v>0.11686307810603425</v>
      </c>
      <c r="C222" s="46">
        <f t="shared" si="11"/>
        <v>565986.66692601796</v>
      </c>
      <c r="D222" s="47">
        <f t="shared" si="12"/>
        <v>-5525000</v>
      </c>
      <c r="E222">
        <v>1497095.2370221587</v>
      </c>
      <c r="F222">
        <v>1305280.0458035232</v>
      </c>
      <c r="G222">
        <v>1610998.0763488854</v>
      </c>
      <c r="H222">
        <v>1475544.0955887907</v>
      </c>
      <c r="I222">
        <v>1795943.4665431371</v>
      </c>
    </row>
    <row r="223" spans="1:9" x14ac:dyDescent="0.25">
      <c r="A223" s="19">
        <v>190</v>
      </c>
      <c r="B223" s="46">
        <f t="shared" si="10"/>
        <v>9.066239461809289E-2</v>
      </c>
      <c r="C223" s="46">
        <f t="shared" si="11"/>
        <v>174372.35324598011</v>
      </c>
      <c r="D223" s="47">
        <f t="shared" si="12"/>
        <v>-5525000</v>
      </c>
      <c r="E223">
        <v>1028752.9867072683</v>
      </c>
      <c r="F223">
        <v>1162893.0795859229</v>
      </c>
      <c r="G223">
        <v>1549674.0318397931</v>
      </c>
      <c r="H223">
        <v>1569311.5214126892</v>
      </c>
      <c r="I223">
        <v>2007334.1368447626</v>
      </c>
    </row>
    <row r="224" spans="1:9" x14ac:dyDescent="0.25">
      <c r="A224" s="19">
        <v>191</v>
      </c>
      <c r="B224" s="46">
        <f t="shared" si="10"/>
        <v>0.13673589115462392</v>
      </c>
      <c r="C224" s="46">
        <f t="shared" si="11"/>
        <v>902601.65638244431</v>
      </c>
      <c r="D224" s="47">
        <f t="shared" si="12"/>
        <v>-5525000</v>
      </c>
      <c r="E224">
        <v>1289934.228674547</v>
      </c>
      <c r="F224">
        <v>1638579.0448702788</v>
      </c>
      <c r="G224">
        <v>1683666.8167073801</v>
      </c>
      <c r="H224">
        <v>1567347.1833871163</v>
      </c>
      <c r="I224">
        <v>1968612.6841338745</v>
      </c>
    </row>
    <row r="225" spans="1:9" x14ac:dyDescent="0.25">
      <c r="A225" s="19">
        <v>192</v>
      </c>
      <c r="B225" s="46">
        <f t="shared" si="10"/>
        <v>0.12560011093430257</v>
      </c>
      <c r="C225" s="46">
        <f t="shared" si="11"/>
        <v>721108.53364546504</v>
      </c>
      <c r="D225" s="47">
        <f t="shared" si="12"/>
        <v>-5525000</v>
      </c>
      <c r="E225">
        <v>1489595.6573981768</v>
      </c>
      <c r="F225">
        <v>1350013.8837707378</v>
      </c>
      <c r="G225">
        <v>1400190.7900550284</v>
      </c>
      <c r="H225">
        <v>1649275.54614778</v>
      </c>
      <c r="I225">
        <v>2035975.375558807</v>
      </c>
    </row>
    <row r="226" spans="1:9" x14ac:dyDescent="0.25">
      <c r="A226" s="19">
        <v>193</v>
      </c>
      <c r="B226" s="46">
        <f t="shared" ref="B226:B289" si="13">IRR(D226:I226)</f>
        <v>0.12038281961180619</v>
      </c>
      <c r="C226" s="46">
        <f t="shared" ref="C226:C289" si="14">NPV($C$14,E226:I226)+D226</f>
        <v>641262.68728880305</v>
      </c>
      <c r="D226" s="47">
        <f t="shared" si="12"/>
        <v>-5525000</v>
      </c>
      <c r="E226">
        <v>1542184.1189835779</v>
      </c>
      <c r="F226">
        <v>1148810.00887632</v>
      </c>
      <c r="G226">
        <v>1466260.521074553</v>
      </c>
      <c r="H226">
        <v>1552780.6594001022</v>
      </c>
      <c r="I226">
        <v>2127719.2893580985</v>
      </c>
    </row>
    <row r="227" spans="1:9" x14ac:dyDescent="0.25">
      <c r="A227" s="19">
        <v>194</v>
      </c>
      <c r="B227" s="46">
        <f t="shared" si="13"/>
        <v>0.12114641380135316</v>
      </c>
      <c r="C227" s="46">
        <f t="shared" si="14"/>
        <v>648875.46217034291</v>
      </c>
      <c r="D227" s="47">
        <f t="shared" ref="D227:D290" si="15">$F$28</f>
        <v>-5525000</v>
      </c>
      <c r="E227">
        <v>1333423.19576871</v>
      </c>
      <c r="F227">
        <v>1425104.8358937292</v>
      </c>
      <c r="G227">
        <v>1587474.1095743664</v>
      </c>
      <c r="H227">
        <v>1601157.0236479174</v>
      </c>
      <c r="I227">
        <v>1881239.9724015603</v>
      </c>
    </row>
    <row r="228" spans="1:9" x14ac:dyDescent="0.25">
      <c r="A228" s="19">
        <v>195</v>
      </c>
      <c r="B228" s="46">
        <f t="shared" si="13"/>
        <v>0.1416333117602524</v>
      </c>
      <c r="C228" s="46">
        <f t="shared" si="14"/>
        <v>969187.60597877204</v>
      </c>
      <c r="D228" s="47">
        <f t="shared" si="15"/>
        <v>-5525000</v>
      </c>
      <c r="E228">
        <v>1535143.9478708291</v>
      </c>
      <c r="F228">
        <v>1351877.4384146705</v>
      </c>
      <c r="G228">
        <v>1714040.3017677888</v>
      </c>
      <c r="H228">
        <v>1783098.1418192978</v>
      </c>
      <c r="I228">
        <v>1825566.9595350963</v>
      </c>
    </row>
    <row r="229" spans="1:9" x14ac:dyDescent="0.25">
      <c r="A229" s="19">
        <v>196</v>
      </c>
      <c r="B229" s="46">
        <f t="shared" si="13"/>
        <v>0.10805997862694916</v>
      </c>
      <c r="C229" s="46">
        <f t="shared" si="14"/>
        <v>457103.1175154103</v>
      </c>
      <c r="D229" s="47">
        <f t="shared" si="15"/>
        <v>-5525000</v>
      </c>
      <c r="E229">
        <v>1238299.0312234417</v>
      </c>
      <c r="F229">
        <v>1311267.0220516189</v>
      </c>
      <c r="G229">
        <v>1329052.558749361</v>
      </c>
      <c r="H229">
        <v>1548498.9857178307</v>
      </c>
      <c r="I229">
        <v>2230575.2957368139</v>
      </c>
    </row>
    <row r="230" spans="1:9" x14ac:dyDescent="0.25">
      <c r="A230" s="19">
        <v>197</v>
      </c>
      <c r="B230" s="46">
        <f t="shared" si="13"/>
        <v>0.11818676325804334</v>
      </c>
      <c r="C230" s="46">
        <f t="shared" si="14"/>
        <v>634220.78631803021</v>
      </c>
      <c r="D230" s="47">
        <f t="shared" si="15"/>
        <v>-5525000</v>
      </c>
      <c r="E230">
        <v>1181013.3137204777</v>
      </c>
      <c r="F230">
        <v>1253244.1022494491</v>
      </c>
      <c r="G230">
        <v>1495039.3777056595</v>
      </c>
      <c r="H230">
        <v>1831052.9552728413</v>
      </c>
      <c r="I230">
        <v>2143082.7012341223</v>
      </c>
    </row>
    <row r="231" spans="1:9" x14ac:dyDescent="0.25">
      <c r="A231" s="19">
        <v>198</v>
      </c>
      <c r="B231" s="46">
        <f t="shared" si="13"/>
        <v>0.12415131019779202</v>
      </c>
      <c r="C231" s="46">
        <f t="shared" si="14"/>
        <v>693991.00601817295</v>
      </c>
      <c r="D231" s="47">
        <f t="shared" si="15"/>
        <v>-5525000</v>
      </c>
      <c r="E231">
        <v>1342020.3081240563</v>
      </c>
      <c r="F231">
        <v>1467256.5047157728</v>
      </c>
      <c r="G231">
        <v>1686635.407413967</v>
      </c>
      <c r="H231">
        <v>1436124.3214771976</v>
      </c>
      <c r="I231">
        <v>1945307.8487390638</v>
      </c>
    </row>
    <row r="232" spans="1:9" x14ac:dyDescent="0.25">
      <c r="A232" s="19">
        <v>199</v>
      </c>
      <c r="B232" s="46">
        <f t="shared" si="13"/>
        <v>0.11707088228222085</v>
      </c>
      <c r="C232" s="46">
        <f t="shared" si="14"/>
        <v>586470.19763542805</v>
      </c>
      <c r="D232" s="47">
        <f t="shared" si="15"/>
        <v>-5525000</v>
      </c>
      <c r="E232">
        <v>1414657.8414455964</v>
      </c>
      <c r="F232">
        <v>1399281.7801999659</v>
      </c>
      <c r="G232">
        <v>1284075.5446362598</v>
      </c>
      <c r="H232">
        <v>1617285.7753154831</v>
      </c>
      <c r="I232">
        <v>2048021.9739443026</v>
      </c>
    </row>
    <row r="233" spans="1:9" x14ac:dyDescent="0.25">
      <c r="A233" s="19">
        <v>200</v>
      </c>
      <c r="B233" s="46">
        <f t="shared" si="13"/>
        <v>0.12712737801557639</v>
      </c>
      <c r="C233" s="46">
        <f t="shared" si="14"/>
        <v>752748.20149926282</v>
      </c>
      <c r="D233" s="47">
        <f t="shared" si="15"/>
        <v>-5525000</v>
      </c>
      <c r="E233">
        <v>1307420.2306542522</v>
      </c>
      <c r="F233">
        <v>1546386.6364961755</v>
      </c>
      <c r="G233">
        <v>1446233.9593322829</v>
      </c>
      <c r="H233">
        <v>1666297.5352993244</v>
      </c>
      <c r="I233">
        <v>2010850.4707354922</v>
      </c>
    </row>
    <row r="234" spans="1:9" x14ac:dyDescent="0.25">
      <c r="A234" s="19">
        <v>201</v>
      </c>
      <c r="B234" s="46">
        <f t="shared" si="13"/>
        <v>0.10658789829018778</v>
      </c>
      <c r="C234" s="46">
        <f t="shared" si="14"/>
        <v>442166.09991729632</v>
      </c>
      <c r="D234" s="47">
        <f t="shared" si="15"/>
        <v>-5525000</v>
      </c>
      <c r="E234">
        <v>1092412.6136105135</v>
      </c>
      <c r="F234">
        <v>1179623.4619987113</v>
      </c>
      <c r="G234">
        <v>1643404.2820677566</v>
      </c>
      <c r="H234">
        <v>1509913.4456214388</v>
      </c>
      <c r="I234">
        <v>2247950.2825194839</v>
      </c>
    </row>
    <row r="235" spans="1:9" x14ac:dyDescent="0.25">
      <c r="A235" s="19">
        <v>202</v>
      </c>
      <c r="B235" s="46">
        <f t="shared" si="13"/>
        <v>0.1046447220092821</v>
      </c>
      <c r="C235" s="46">
        <f t="shared" si="14"/>
        <v>405663.86160828732</v>
      </c>
      <c r="D235" s="47">
        <f t="shared" si="15"/>
        <v>-5525000</v>
      </c>
      <c r="E235">
        <v>1085125.8557467465</v>
      </c>
      <c r="F235">
        <v>1366390.2453708611</v>
      </c>
      <c r="G235">
        <v>1324095.9263115362</v>
      </c>
      <c r="H235">
        <v>1710817.1872642715</v>
      </c>
      <c r="I235">
        <v>2124422.9394983603</v>
      </c>
    </row>
    <row r="236" spans="1:9" x14ac:dyDescent="0.25">
      <c r="A236" s="19">
        <v>203</v>
      </c>
      <c r="B236" s="46">
        <f t="shared" si="13"/>
        <v>0.12831271710353787</v>
      </c>
      <c r="C236" s="46">
        <f t="shared" si="14"/>
        <v>771589.16981134657</v>
      </c>
      <c r="D236" s="47">
        <f t="shared" si="15"/>
        <v>-5525000</v>
      </c>
      <c r="E236">
        <v>1350644.8758507124</v>
      </c>
      <c r="F236">
        <v>1538486.310769225</v>
      </c>
      <c r="G236">
        <v>1464718.7570247913</v>
      </c>
      <c r="H236">
        <v>1495027.859524359</v>
      </c>
      <c r="I236">
        <v>2153090.0988114052</v>
      </c>
    </row>
    <row r="237" spans="1:9" x14ac:dyDescent="0.25">
      <c r="A237" s="19">
        <v>204</v>
      </c>
      <c r="B237" s="46">
        <f t="shared" si="13"/>
        <v>0.1137090106948373</v>
      </c>
      <c r="C237" s="46">
        <f t="shared" si="14"/>
        <v>530897.39888500981</v>
      </c>
      <c r="D237" s="47">
        <f t="shared" si="15"/>
        <v>-5525000</v>
      </c>
      <c r="E237">
        <v>1277702.2639001464</v>
      </c>
      <c r="F237">
        <v>1528267.1146132667</v>
      </c>
      <c r="G237">
        <v>1281965.744301822</v>
      </c>
      <c r="H237">
        <v>1788422.7785508274</v>
      </c>
      <c r="I237">
        <v>1807842.3857264323</v>
      </c>
    </row>
    <row r="238" spans="1:9" x14ac:dyDescent="0.25">
      <c r="A238" s="19">
        <v>205</v>
      </c>
      <c r="B238" s="46">
        <f t="shared" si="13"/>
        <v>0.13766307465699712</v>
      </c>
      <c r="C238" s="46">
        <f t="shared" si="14"/>
        <v>929540.65871012677</v>
      </c>
      <c r="D238" s="47">
        <f t="shared" si="15"/>
        <v>-5525000</v>
      </c>
      <c r="E238">
        <v>1268015.6337354949</v>
      </c>
      <c r="F238">
        <v>1616560.1781403562</v>
      </c>
      <c r="G238">
        <v>1651168.1835894412</v>
      </c>
      <c r="H238">
        <v>1585693.1694507666</v>
      </c>
      <c r="I238">
        <v>2083845.0944143159</v>
      </c>
    </row>
    <row r="239" spans="1:9" x14ac:dyDescent="0.25">
      <c r="A239" s="19">
        <v>206</v>
      </c>
      <c r="B239" s="46">
        <f t="shared" si="13"/>
        <v>0.11475205762430418</v>
      </c>
      <c r="C239" s="46">
        <f t="shared" si="14"/>
        <v>539299.72657673154</v>
      </c>
      <c r="D239" s="47">
        <f t="shared" si="15"/>
        <v>-5525000</v>
      </c>
      <c r="E239">
        <v>1441828.7682873872</v>
      </c>
      <c r="F239">
        <v>1246554.5413442338</v>
      </c>
      <c r="G239">
        <v>1611370.1733687483</v>
      </c>
      <c r="H239">
        <v>1615774.3656513931</v>
      </c>
      <c r="I239">
        <v>1754015.5334177297</v>
      </c>
    </row>
    <row r="240" spans="1:9" x14ac:dyDescent="0.25">
      <c r="A240" s="19">
        <v>207</v>
      </c>
      <c r="B240" s="46">
        <f t="shared" si="13"/>
        <v>9.2574438146352467E-2</v>
      </c>
      <c r="C240" s="46">
        <f t="shared" si="14"/>
        <v>197963.10594903119</v>
      </c>
      <c r="D240" s="47">
        <f t="shared" si="15"/>
        <v>-5525000</v>
      </c>
      <c r="E240">
        <v>1303530.4355016071</v>
      </c>
      <c r="F240">
        <v>1104792.7390472647</v>
      </c>
      <c r="G240">
        <v>1487163.6083356568</v>
      </c>
      <c r="H240">
        <v>1510912.4118644986</v>
      </c>
      <c r="I240">
        <v>1877337.8990704413</v>
      </c>
    </row>
    <row r="241" spans="1:9" x14ac:dyDescent="0.25">
      <c r="A241" s="19">
        <v>208</v>
      </c>
      <c r="B241" s="46">
        <f t="shared" si="13"/>
        <v>0.11874771921464866</v>
      </c>
      <c r="C241" s="46">
        <f t="shared" si="14"/>
        <v>617958.70311368629</v>
      </c>
      <c r="D241" s="47">
        <f t="shared" si="15"/>
        <v>-5525000</v>
      </c>
      <c r="E241">
        <v>1346957.1590521175</v>
      </c>
      <c r="F241">
        <v>1368229.243657846</v>
      </c>
      <c r="G241">
        <v>1477484.3109720384</v>
      </c>
      <c r="H241">
        <v>1574257.4104443493</v>
      </c>
      <c r="I241">
        <v>2046390.8520400918</v>
      </c>
    </row>
    <row r="242" spans="1:9" x14ac:dyDescent="0.25">
      <c r="A242" s="19">
        <v>209</v>
      </c>
      <c r="B242" s="46">
        <f t="shared" si="13"/>
        <v>0.14581535866487649</v>
      </c>
      <c r="C242" s="46">
        <f t="shared" si="14"/>
        <v>1071979.059582538</v>
      </c>
      <c r="D242" s="47">
        <f t="shared" si="15"/>
        <v>-5525000</v>
      </c>
      <c r="E242">
        <v>1327050.1390197116</v>
      </c>
      <c r="F242">
        <v>1444853.0922572569</v>
      </c>
      <c r="G242">
        <v>1881356.4040741473</v>
      </c>
      <c r="H242">
        <v>1639017.1280328077</v>
      </c>
      <c r="I242">
        <v>2103038.1042624111</v>
      </c>
    </row>
    <row r="243" spans="1:9" x14ac:dyDescent="0.25">
      <c r="A243" s="19">
        <v>210</v>
      </c>
      <c r="B243" s="46">
        <f t="shared" si="13"/>
        <v>0.12182969135174471</v>
      </c>
      <c r="C243" s="46">
        <f t="shared" si="14"/>
        <v>636272.43348876201</v>
      </c>
      <c r="D243" s="47">
        <f t="shared" si="15"/>
        <v>-5525000</v>
      </c>
      <c r="E243">
        <v>1435681.1525375908</v>
      </c>
      <c r="F243">
        <v>1569951.1894717612</v>
      </c>
      <c r="G243">
        <v>1484971.9534780595</v>
      </c>
      <c r="H243">
        <v>1615623.4463743176</v>
      </c>
      <c r="I243">
        <v>1645071.2558185086</v>
      </c>
    </row>
    <row r="244" spans="1:9" x14ac:dyDescent="0.25">
      <c r="A244" s="19">
        <v>211</v>
      </c>
      <c r="B244" s="46">
        <f t="shared" si="13"/>
        <v>0.10942586204933868</v>
      </c>
      <c r="C244" s="46">
        <f t="shared" si="14"/>
        <v>466876.77956245095</v>
      </c>
      <c r="D244" s="47">
        <f t="shared" si="15"/>
        <v>-5525000</v>
      </c>
      <c r="E244">
        <v>1307801.8773684837</v>
      </c>
      <c r="F244">
        <v>1370873.1447558999</v>
      </c>
      <c r="G244">
        <v>1322766.1313707065</v>
      </c>
      <c r="H244">
        <v>1686419.5939852807</v>
      </c>
      <c r="I244">
        <v>1933669.8408483397</v>
      </c>
    </row>
    <row r="245" spans="1:9" x14ac:dyDescent="0.25">
      <c r="A245" s="19">
        <v>212</v>
      </c>
      <c r="B245" s="46">
        <f t="shared" si="13"/>
        <v>9.6213259419654529E-2</v>
      </c>
      <c r="C245" s="46">
        <f t="shared" si="14"/>
        <v>256164.79088304471</v>
      </c>
      <c r="D245" s="47">
        <f t="shared" si="15"/>
        <v>-5525000</v>
      </c>
      <c r="E245">
        <v>1331509.3346990854</v>
      </c>
      <c r="F245">
        <v>1095097.0707790144</v>
      </c>
      <c r="G245">
        <v>1417104.492493643</v>
      </c>
      <c r="H245">
        <v>1678473.7366798227</v>
      </c>
      <c r="I245">
        <v>1837754.7569730422</v>
      </c>
    </row>
    <row r="246" spans="1:9" x14ac:dyDescent="0.25">
      <c r="A246" s="19">
        <v>213</v>
      </c>
      <c r="B246" s="46">
        <f t="shared" si="13"/>
        <v>0.12779191848608962</v>
      </c>
      <c r="C246" s="46">
        <f t="shared" si="14"/>
        <v>750890.54218144715</v>
      </c>
      <c r="D246" s="47">
        <f t="shared" si="15"/>
        <v>-5525000</v>
      </c>
      <c r="E246">
        <v>1492862.6760537829</v>
      </c>
      <c r="F246">
        <v>1436284.799515273</v>
      </c>
      <c r="G246">
        <v>1430040.9177579856</v>
      </c>
      <c r="H246">
        <v>1529393.7989518754</v>
      </c>
      <c r="I246">
        <v>2061268.7642756253</v>
      </c>
    </row>
    <row r="247" spans="1:9" x14ac:dyDescent="0.25">
      <c r="A247" s="19">
        <v>214</v>
      </c>
      <c r="B247" s="46">
        <f t="shared" si="13"/>
        <v>7.8898401793917161E-2</v>
      </c>
      <c r="C247" s="46">
        <f t="shared" si="14"/>
        <v>-16949.097226605751</v>
      </c>
      <c r="D247" s="47">
        <f t="shared" si="15"/>
        <v>-5525000</v>
      </c>
      <c r="E247">
        <v>1395865.0661097001</v>
      </c>
      <c r="F247">
        <v>1004055.7416368425</v>
      </c>
      <c r="G247">
        <v>1393874.519881472</v>
      </c>
      <c r="H247">
        <v>1358116.6198456204</v>
      </c>
      <c r="I247">
        <v>1836672.5719647701</v>
      </c>
    </row>
    <row r="248" spans="1:9" x14ac:dyDescent="0.25">
      <c r="A248" s="19">
        <v>215</v>
      </c>
      <c r="B248" s="46">
        <f t="shared" si="13"/>
        <v>0.13065329225279187</v>
      </c>
      <c r="C248" s="46">
        <f t="shared" si="14"/>
        <v>803834.62389627285</v>
      </c>
      <c r="D248" s="47">
        <f t="shared" si="15"/>
        <v>-5525000</v>
      </c>
      <c r="E248">
        <v>1421189.8323937296</v>
      </c>
      <c r="F248">
        <v>1388581.8592507017</v>
      </c>
      <c r="G248">
        <v>1572109.6745168031</v>
      </c>
      <c r="H248">
        <v>1714250.6434503021</v>
      </c>
      <c r="I248">
        <v>1931308.6789156995</v>
      </c>
    </row>
    <row r="249" spans="1:9" x14ac:dyDescent="0.25">
      <c r="A249" s="19">
        <v>216</v>
      </c>
      <c r="B249" s="46">
        <f t="shared" si="13"/>
        <v>0.11145738511393821</v>
      </c>
      <c r="C249" s="46">
        <f t="shared" si="14"/>
        <v>498550.71730614547</v>
      </c>
      <c r="D249" s="47">
        <f t="shared" si="15"/>
        <v>-5525000</v>
      </c>
      <c r="E249">
        <v>1419124.3699260033</v>
      </c>
      <c r="F249">
        <v>1149090.3606181415</v>
      </c>
      <c r="G249">
        <v>1535337.7236991653</v>
      </c>
      <c r="H249">
        <v>1577985.5429137542</v>
      </c>
      <c r="I249">
        <v>1977303.9291908543</v>
      </c>
    </row>
    <row r="250" spans="1:9" x14ac:dyDescent="0.25">
      <c r="A250" s="19">
        <v>217</v>
      </c>
      <c r="B250" s="46">
        <f t="shared" si="13"/>
        <v>0.11806063441918191</v>
      </c>
      <c r="C250" s="46">
        <f t="shared" si="14"/>
        <v>620655.63614618126</v>
      </c>
      <c r="D250" s="47">
        <f t="shared" si="15"/>
        <v>-5525000</v>
      </c>
      <c r="E250">
        <v>1096963.0429771589</v>
      </c>
      <c r="F250">
        <v>1652718.7316250671</v>
      </c>
      <c r="G250">
        <v>1317703.4291132875</v>
      </c>
      <c r="H250">
        <v>1654803.4549451559</v>
      </c>
      <c r="I250">
        <v>2131471.6371239382</v>
      </c>
    </row>
    <row r="251" spans="1:9" x14ac:dyDescent="0.25">
      <c r="A251" s="19">
        <v>218</v>
      </c>
      <c r="B251" s="46">
        <f t="shared" si="13"/>
        <v>0.13343108733246267</v>
      </c>
      <c r="C251" s="46">
        <f t="shared" si="14"/>
        <v>847293.40030806232</v>
      </c>
      <c r="D251" s="47">
        <f t="shared" si="15"/>
        <v>-5525000</v>
      </c>
      <c r="E251">
        <v>1384340.6313698599</v>
      </c>
      <c r="F251">
        <v>1599090.3765350264</v>
      </c>
      <c r="G251">
        <v>1452144.02643466</v>
      </c>
      <c r="H251">
        <v>1589126.1140460274</v>
      </c>
      <c r="I251">
        <v>2055179.128813067</v>
      </c>
    </row>
    <row r="252" spans="1:9" x14ac:dyDescent="0.25">
      <c r="A252" s="19">
        <v>219</v>
      </c>
      <c r="B252" s="46">
        <f t="shared" si="13"/>
        <v>0.10061345961283696</v>
      </c>
      <c r="C252" s="46">
        <f t="shared" si="14"/>
        <v>319318.43314321991</v>
      </c>
      <c r="D252" s="47">
        <f t="shared" si="15"/>
        <v>-5525000</v>
      </c>
      <c r="E252">
        <v>1362487.8611098486</v>
      </c>
      <c r="F252">
        <v>1378630.0545370646</v>
      </c>
      <c r="G252">
        <v>1362870.7549927346</v>
      </c>
      <c r="H252">
        <v>1331708.3043112662</v>
      </c>
      <c r="I252">
        <v>1968997.2298624679</v>
      </c>
    </row>
    <row r="253" spans="1:9" x14ac:dyDescent="0.25">
      <c r="A253" s="19">
        <v>220</v>
      </c>
      <c r="B253" s="46">
        <f t="shared" si="13"/>
        <v>0.12125814366479815</v>
      </c>
      <c r="C253" s="46">
        <f t="shared" si="14"/>
        <v>661074.61251633521</v>
      </c>
      <c r="D253" s="47">
        <f t="shared" si="15"/>
        <v>-5525000</v>
      </c>
      <c r="E253">
        <v>1295788.3618527651</v>
      </c>
      <c r="F253">
        <v>1424132.4723706963</v>
      </c>
      <c r="G253">
        <v>1462011.9302620585</v>
      </c>
      <c r="H253">
        <v>1716532.3382833749</v>
      </c>
      <c r="I253">
        <v>1973324.9467140166</v>
      </c>
    </row>
    <row r="254" spans="1:9" x14ac:dyDescent="0.25">
      <c r="A254" s="19">
        <v>221</v>
      </c>
      <c r="B254" s="46">
        <f t="shared" si="13"/>
        <v>0.11440277089297868</v>
      </c>
      <c r="C254" s="46">
        <f t="shared" si="14"/>
        <v>555073.94062910881</v>
      </c>
      <c r="D254" s="47">
        <f t="shared" si="15"/>
        <v>-5525000</v>
      </c>
      <c r="E254">
        <v>1362863.0276743299</v>
      </c>
      <c r="F254">
        <v>1120330.0917850025</v>
      </c>
      <c r="G254">
        <v>1644277.0559209455</v>
      </c>
      <c r="H254">
        <v>1491345.088103205</v>
      </c>
      <c r="I254">
        <v>2139632.5330829467</v>
      </c>
    </row>
    <row r="255" spans="1:9" x14ac:dyDescent="0.25">
      <c r="A255" s="19">
        <v>222</v>
      </c>
      <c r="B255" s="46">
        <f t="shared" si="13"/>
        <v>0.11935514263789115</v>
      </c>
      <c r="C255" s="46">
        <f t="shared" si="14"/>
        <v>627635.46494674403</v>
      </c>
      <c r="D255" s="47">
        <f t="shared" si="15"/>
        <v>-5525000</v>
      </c>
      <c r="E255">
        <v>1319057.3858936934</v>
      </c>
      <c r="F255">
        <v>1304003.4563027471</v>
      </c>
      <c r="G255">
        <v>1670129.7838793541</v>
      </c>
      <c r="H255">
        <v>1568196.2535346402</v>
      </c>
      <c r="I255">
        <v>1961316.8881665086</v>
      </c>
    </row>
    <row r="256" spans="1:9" x14ac:dyDescent="0.25">
      <c r="A256" s="19">
        <v>223</v>
      </c>
      <c r="B256" s="46">
        <f t="shared" si="13"/>
        <v>0.10035776348913705</v>
      </c>
      <c r="C256" s="46">
        <f t="shared" si="14"/>
        <v>331657.43458423205</v>
      </c>
      <c r="D256" s="47">
        <f t="shared" si="15"/>
        <v>-5525000</v>
      </c>
      <c r="E256">
        <v>1025316.4609766193</v>
      </c>
      <c r="F256">
        <v>1362761.3615107872</v>
      </c>
      <c r="G256">
        <v>1504669.7328856387</v>
      </c>
      <c r="H256">
        <v>1635787.6260336498</v>
      </c>
      <c r="I256">
        <v>1972035.2263834837</v>
      </c>
    </row>
    <row r="257" spans="1:9" x14ac:dyDescent="0.25">
      <c r="A257" s="19">
        <v>224</v>
      </c>
      <c r="B257" s="46">
        <f t="shared" si="13"/>
        <v>0.13666562546636918</v>
      </c>
      <c r="C257" s="46">
        <f t="shared" si="14"/>
        <v>891626.29785457347</v>
      </c>
      <c r="D257" s="47">
        <f t="shared" si="15"/>
        <v>-5525000</v>
      </c>
      <c r="E257">
        <v>1384565.0491875224</v>
      </c>
      <c r="F257">
        <v>1617687.0420758529</v>
      </c>
      <c r="G257">
        <v>1636925.4965596772</v>
      </c>
      <c r="H257">
        <v>1483640.1900502979</v>
      </c>
      <c r="I257">
        <v>1994982.6303604976</v>
      </c>
    </row>
    <row r="258" spans="1:9" x14ac:dyDescent="0.25">
      <c r="A258" s="19">
        <v>225</v>
      </c>
      <c r="B258" s="46">
        <f t="shared" si="13"/>
        <v>0.11861435782893981</v>
      </c>
      <c r="C258" s="46">
        <f t="shared" si="14"/>
        <v>625413.25291311461</v>
      </c>
      <c r="D258" s="47">
        <f t="shared" si="15"/>
        <v>-5525000</v>
      </c>
      <c r="E258">
        <v>1280152.1015662095</v>
      </c>
      <c r="F258">
        <v>1221374.0436572731</v>
      </c>
      <c r="G258">
        <v>1732753.6100041177</v>
      </c>
      <c r="H258">
        <v>1528163.7642111464</v>
      </c>
      <c r="I258">
        <v>2085261.8597860027</v>
      </c>
    </row>
    <row r="259" spans="1:9" x14ac:dyDescent="0.25">
      <c r="A259" s="19">
        <v>226</v>
      </c>
      <c r="B259" s="46">
        <f t="shared" si="13"/>
        <v>0.10680860618664623</v>
      </c>
      <c r="C259" s="46">
        <f t="shared" si="14"/>
        <v>441553.9173357347</v>
      </c>
      <c r="D259" s="47">
        <f t="shared" si="15"/>
        <v>-5525000</v>
      </c>
      <c r="E259">
        <v>1037100.7838274911</v>
      </c>
      <c r="F259">
        <v>1348677.7792104145</v>
      </c>
      <c r="G259">
        <v>1594912.2983059785</v>
      </c>
      <c r="H259">
        <v>1546747.8105129858</v>
      </c>
      <c r="I259">
        <v>2126122.1029749475</v>
      </c>
    </row>
    <row r="260" spans="1:9" x14ac:dyDescent="0.25">
      <c r="A260" s="19">
        <v>227</v>
      </c>
      <c r="B260" s="46">
        <f t="shared" si="13"/>
        <v>9.6453167745419677E-2</v>
      </c>
      <c r="C260" s="46">
        <f t="shared" si="14"/>
        <v>254028.68078647368</v>
      </c>
      <c r="D260" s="47">
        <f t="shared" si="15"/>
        <v>-5525000</v>
      </c>
      <c r="E260">
        <v>1336391.9570055534</v>
      </c>
      <c r="F260">
        <v>1451554.2492199198</v>
      </c>
      <c r="G260">
        <v>1266113.9337709462</v>
      </c>
      <c r="H260">
        <v>1258507.1684917212</v>
      </c>
      <c r="I260">
        <v>2008619.2528583677</v>
      </c>
    </row>
    <row r="261" spans="1:9" x14ac:dyDescent="0.25">
      <c r="A261" s="19">
        <v>228</v>
      </c>
      <c r="B261" s="46">
        <f t="shared" si="13"/>
        <v>0.13271089520281398</v>
      </c>
      <c r="C261" s="46">
        <f t="shared" si="14"/>
        <v>862535.56128045265</v>
      </c>
      <c r="D261" s="47">
        <f t="shared" si="15"/>
        <v>-5525000</v>
      </c>
      <c r="E261">
        <v>1322847.5913764944</v>
      </c>
      <c r="F261">
        <v>1293298.2489155289</v>
      </c>
      <c r="G261">
        <v>1676284.2208394138</v>
      </c>
      <c r="H261">
        <v>1763433.274751239</v>
      </c>
      <c r="I261">
        <v>2096756.6222611975</v>
      </c>
    </row>
    <row r="262" spans="1:9" x14ac:dyDescent="0.25">
      <c r="A262" s="19">
        <v>229</v>
      </c>
      <c r="B262" s="46">
        <f t="shared" si="13"/>
        <v>0.13584460481332439</v>
      </c>
      <c r="C262" s="46">
        <f t="shared" si="14"/>
        <v>888610.70038465783</v>
      </c>
      <c r="D262" s="47">
        <f t="shared" si="15"/>
        <v>-5525000</v>
      </c>
      <c r="E262">
        <v>1258298.3081246587</v>
      </c>
      <c r="F262">
        <v>1755971.3913805932</v>
      </c>
      <c r="G262">
        <v>1561606.0338928653</v>
      </c>
      <c r="H262">
        <v>1518934.8372551622</v>
      </c>
      <c r="I262">
        <v>2037872.1836027734</v>
      </c>
    </row>
    <row r="263" spans="1:9" x14ac:dyDescent="0.25">
      <c r="A263" s="19">
        <v>230</v>
      </c>
      <c r="B263" s="46">
        <f t="shared" si="13"/>
        <v>0.12154096671140446</v>
      </c>
      <c r="C263" s="46">
        <f t="shared" si="14"/>
        <v>650279.26799839828</v>
      </c>
      <c r="D263" s="47">
        <f t="shared" si="15"/>
        <v>-5525000</v>
      </c>
      <c r="E263">
        <v>1421578.9824392507</v>
      </c>
      <c r="F263">
        <v>1412586.2097580135</v>
      </c>
      <c r="G263">
        <v>1475321.8167883167</v>
      </c>
      <c r="H263">
        <v>1616762.2474277751</v>
      </c>
      <c r="I263">
        <v>1893098.3053837889</v>
      </c>
    </row>
    <row r="264" spans="1:9" x14ac:dyDescent="0.25">
      <c r="A264" s="19">
        <v>231</v>
      </c>
      <c r="B264" s="46">
        <f t="shared" si="13"/>
        <v>0.10330498797734289</v>
      </c>
      <c r="C264" s="46">
        <f t="shared" si="14"/>
        <v>379511.72246780992</v>
      </c>
      <c r="D264" s="47">
        <f t="shared" si="15"/>
        <v>-5525000</v>
      </c>
      <c r="E264">
        <v>1216043.9800881525</v>
      </c>
      <c r="F264">
        <v>1207969.6833688682</v>
      </c>
      <c r="G264">
        <v>1369610.4517933852</v>
      </c>
      <c r="H264">
        <v>1675780.8933981296</v>
      </c>
      <c r="I264">
        <v>2092199.5422145454</v>
      </c>
    </row>
    <row r="265" spans="1:9" x14ac:dyDescent="0.25">
      <c r="A265" s="19">
        <v>232</v>
      </c>
      <c r="B265" s="46">
        <f t="shared" si="13"/>
        <v>0.10092367297571947</v>
      </c>
      <c r="C265" s="46">
        <f t="shared" si="14"/>
        <v>328643.45488755312</v>
      </c>
      <c r="D265" s="47">
        <f t="shared" si="15"/>
        <v>-5525000</v>
      </c>
      <c r="E265">
        <v>1206226.5532167023</v>
      </c>
      <c r="F265">
        <v>1399834.6392918061</v>
      </c>
      <c r="G265">
        <v>1496579.7775133685</v>
      </c>
      <c r="H265">
        <v>1475202.0118940864</v>
      </c>
      <c r="I265">
        <v>1857647.4524638951</v>
      </c>
    </row>
    <row r="266" spans="1:9" x14ac:dyDescent="0.25">
      <c r="A266" s="19">
        <v>233</v>
      </c>
      <c r="B266" s="46">
        <f t="shared" si="13"/>
        <v>0.12511047887308879</v>
      </c>
      <c r="C266" s="46">
        <f t="shared" si="14"/>
        <v>709588.39924521185</v>
      </c>
      <c r="D266" s="47">
        <f t="shared" si="15"/>
        <v>-5525000</v>
      </c>
      <c r="E266">
        <v>1440487.3772891099</v>
      </c>
      <c r="F266">
        <v>1585156.0082091633</v>
      </c>
      <c r="G266">
        <v>1217453.4661156647</v>
      </c>
      <c r="H266">
        <v>1552245.8765154597</v>
      </c>
      <c r="I266">
        <v>2107585.2935541812</v>
      </c>
    </row>
    <row r="267" spans="1:9" x14ac:dyDescent="0.25">
      <c r="A267" s="19">
        <v>234</v>
      </c>
      <c r="B267" s="46">
        <f t="shared" si="13"/>
        <v>0.13316926087609171</v>
      </c>
      <c r="C267" s="46">
        <f t="shared" si="14"/>
        <v>852916.84799970873</v>
      </c>
      <c r="D267" s="47">
        <f t="shared" si="15"/>
        <v>-5525000</v>
      </c>
      <c r="E267">
        <v>1264660.4509372357</v>
      </c>
      <c r="F267">
        <v>1676745.7626565043</v>
      </c>
      <c r="G267">
        <v>1455096.0757063583</v>
      </c>
      <c r="H267">
        <v>1660583.0664012474</v>
      </c>
      <c r="I267">
        <v>2047825.1820282065</v>
      </c>
    </row>
    <row r="268" spans="1:9" x14ac:dyDescent="0.25">
      <c r="A268" s="19">
        <v>235</v>
      </c>
      <c r="B268" s="46">
        <f t="shared" si="13"/>
        <v>0.10323953904297989</v>
      </c>
      <c r="C268" s="46">
        <f t="shared" si="14"/>
        <v>369227.50854343362</v>
      </c>
      <c r="D268" s="47">
        <f t="shared" si="15"/>
        <v>-5525000</v>
      </c>
      <c r="E268">
        <v>1204361.2932702038</v>
      </c>
      <c r="F268">
        <v>1402926.0117831323</v>
      </c>
      <c r="G268">
        <v>1441919.2027802344</v>
      </c>
      <c r="H268">
        <v>1460737.294470252</v>
      </c>
      <c r="I268">
        <v>1995300.1576982541</v>
      </c>
    </row>
    <row r="269" spans="1:9" x14ac:dyDescent="0.25">
      <c r="A269" s="19">
        <v>236</v>
      </c>
      <c r="B269" s="46">
        <f t="shared" si="13"/>
        <v>9.8354138983749451E-2</v>
      </c>
      <c r="C269" s="46">
        <f t="shared" si="14"/>
        <v>299935.65186183807</v>
      </c>
      <c r="D269" s="47">
        <f t="shared" si="15"/>
        <v>-5525000</v>
      </c>
      <c r="E269">
        <v>1171097.6614212361</v>
      </c>
      <c r="F269">
        <v>1194793.1515032575</v>
      </c>
      <c r="G269">
        <v>1330837.6694752658</v>
      </c>
      <c r="H269">
        <v>1667257.9617043966</v>
      </c>
      <c r="I269">
        <v>2107453.1326053301</v>
      </c>
    </row>
    <row r="270" spans="1:9" x14ac:dyDescent="0.25">
      <c r="A270" s="19">
        <v>237</v>
      </c>
      <c r="B270" s="46">
        <f t="shared" si="13"/>
        <v>0.10355607880115314</v>
      </c>
      <c r="C270" s="46">
        <f t="shared" si="14"/>
        <v>373317.89489174634</v>
      </c>
      <c r="D270" s="47">
        <f t="shared" si="15"/>
        <v>-5525000</v>
      </c>
      <c r="E270">
        <v>1252447.7560818288</v>
      </c>
      <c r="F270">
        <v>1346733.2226946051</v>
      </c>
      <c r="G270">
        <v>1451566.2699253587</v>
      </c>
      <c r="H270">
        <v>1467174.1295352122</v>
      </c>
      <c r="I270">
        <v>1988471.7851641807</v>
      </c>
    </row>
    <row r="271" spans="1:9" x14ac:dyDescent="0.25">
      <c r="A271" s="19">
        <v>238</v>
      </c>
      <c r="B271" s="46">
        <f t="shared" si="13"/>
        <v>0.12427237433376637</v>
      </c>
      <c r="C271" s="46">
        <f t="shared" si="14"/>
        <v>724299.11346045416</v>
      </c>
      <c r="D271" s="47">
        <f t="shared" si="15"/>
        <v>-5525000</v>
      </c>
      <c r="E271">
        <v>1126937.1461766516</v>
      </c>
      <c r="F271">
        <v>1510925.5517608868</v>
      </c>
      <c r="G271">
        <v>1610465.6808878351</v>
      </c>
      <c r="H271">
        <v>1661539.0590196485</v>
      </c>
      <c r="I271">
        <v>2072844.6991529535</v>
      </c>
    </row>
    <row r="272" spans="1:9" x14ac:dyDescent="0.25">
      <c r="A272" s="19">
        <v>239</v>
      </c>
      <c r="B272" s="46">
        <f t="shared" si="13"/>
        <v>0.12464231103193191</v>
      </c>
      <c r="C272" s="46">
        <f t="shared" si="14"/>
        <v>706347.83307278715</v>
      </c>
      <c r="D272" s="47">
        <f t="shared" si="15"/>
        <v>-5525000</v>
      </c>
      <c r="E272">
        <v>1439441.6857557464</v>
      </c>
      <c r="F272">
        <v>1460639.2486393484</v>
      </c>
      <c r="G272">
        <v>1320725.5663204412</v>
      </c>
      <c r="H272">
        <v>1621063.7026198101</v>
      </c>
      <c r="I272">
        <v>2066321.9168386757</v>
      </c>
    </row>
    <row r="273" spans="1:9" x14ac:dyDescent="0.25">
      <c r="A273" s="19">
        <v>240</v>
      </c>
      <c r="B273" s="46">
        <f t="shared" si="13"/>
        <v>9.0910851834439921E-2</v>
      </c>
      <c r="C273" s="46">
        <f t="shared" si="14"/>
        <v>176448.38833982591</v>
      </c>
      <c r="D273" s="47">
        <f t="shared" si="15"/>
        <v>-5525000</v>
      </c>
      <c r="E273">
        <v>1068730.7358183991</v>
      </c>
      <c r="F273">
        <v>1330265.4568769536</v>
      </c>
      <c r="G273">
        <v>1327466.6273631444</v>
      </c>
      <c r="H273">
        <v>1537695.8939633342</v>
      </c>
      <c r="I273">
        <v>2038481.8292700555</v>
      </c>
    </row>
    <row r="274" spans="1:9" x14ac:dyDescent="0.25">
      <c r="A274" s="19">
        <v>241</v>
      </c>
      <c r="B274" s="46">
        <f t="shared" si="13"/>
        <v>0.14195984550615681</v>
      </c>
      <c r="C274" s="46">
        <f t="shared" si="14"/>
        <v>980767.46587089729</v>
      </c>
      <c r="D274" s="47">
        <f t="shared" si="15"/>
        <v>-5525000</v>
      </c>
      <c r="E274">
        <v>1354533.8183520746</v>
      </c>
      <c r="F274">
        <v>1618712.9520994527</v>
      </c>
      <c r="G274">
        <v>1701045.2140951818</v>
      </c>
      <c r="H274">
        <v>1681865.9245437603</v>
      </c>
      <c r="I274">
        <v>1876652.0263784667</v>
      </c>
    </row>
    <row r="275" spans="1:9" x14ac:dyDescent="0.25">
      <c r="A275" s="19">
        <v>242</v>
      </c>
      <c r="B275" s="46">
        <f t="shared" si="13"/>
        <v>0.1268342003846048</v>
      </c>
      <c r="C275" s="46">
        <f t="shared" si="14"/>
        <v>754796.9664600119</v>
      </c>
      <c r="D275" s="47">
        <f t="shared" si="15"/>
        <v>-5525000</v>
      </c>
      <c r="E275">
        <v>1346771.7926632124</v>
      </c>
      <c r="F275">
        <v>1213202.9158828696</v>
      </c>
      <c r="G275">
        <v>1821509.8337080851</v>
      </c>
      <c r="H275">
        <v>1615077.5790229973</v>
      </c>
      <c r="I275">
        <v>1997634.7169108675</v>
      </c>
    </row>
    <row r="276" spans="1:9" x14ac:dyDescent="0.25">
      <c r="A276" s="19">
        <v>243</v>
      </c>
      <c r="B276" s="46">
        <f t="shared" si="13"/>
        <v>8.4020541631650403E-2</v>
      </c>
      <c r="C276" s="46">
        <f t="shared" si="14"/>
        <v>67179.946416203864</v>
      </c>
      <c r="D276" s="47">
        <f t="shared" si="15"/>
        <v>-5525000</v>
      </c>
      <c r="E276">
        <v>775149.93881225586</v>
      </c>
      <c r="F276">
        <v>1276478.5086482912</v>
      </c>
      <c r="G276">
        <v>1525308.6687792963</v>
      </c>
      <c r="H276">
        <v>1601283.386568045</v>
      </c>
      <c r="I276">
        <v>2045662.6878444848</v>
      </c>
    </row>
    <row r="277" spans="1:9" x14ac:dyDescent="0.25">
      <c r="A277" s="19">
        <v>244</v>
      </c>
      <c r="B277" s="46">
        <f t="shared" si="13"/>
        <v>0.15764910475284832</v>
      </c>
      <c r="C277" s="46">
        <f t="shared" si="14"/>
        <v>1263650.6714065969</v>
      </c>
      <c r="D277" s="47">
        <f t="shared" si="15"/>
        <v>-5525000</v>
      </c>
      <c r="E277">
        <v>1377057.6251717377</v>
      </c>
      <c r="F277">
        <v>1693262.6411880516</v>
      </c>
      <c r="G277">
        <v>1618085.313812451</v>
      </c>
      <c r="H277">
        <v>1773304.5891837692</v>
      </c>
      <c r="I277">
        <v>2165756.4041493214</v>
      </c>
    </row>
    <row r="278" spans="1:9" x14ac:dyDescent="0.25">
      <c r="A278" s="19">
        <v>245</v>
      </c>
      <c r="B278" s="46">
        <f t="shared" si="13"/>
        <v>0.12190309058605919</v>
      </c>
      <c r="C278" s="46">
        <f t="shared" si="14"/>
        <v>656435.14995320048</v>
      </c>
      <c r="D278" s="47">
        <f t="shared" si="15"/>
        <v>-5525000</v>
      </c>
      <c r="E278">
        <v>1400722.4499381939</v>
      </c>
      <c r="F278">
        <v>1538313.3930890504</v>
      </c>
      <c r="G278">
        <v>1322682.2304844679</v>
      </c>
      <c r="H278">
        <v>1611092.1163964095</v>
      </c>
      <c r="I278">
        <v>1956300.9111993932</v>
      </c>
    </row>
    <row r="279" spans="1:9" x14ac:dyDescent="0.25">
      <c r="A279" s="19">
        <v>246</v>
      </c>
      <c r="B279" s="46">
        <f t="shared" si="13"/>
        <v>0.12368579217443498</v>
      </c>
      <c r="C279" s="46">
        <f t="shared" si="14"/>
        <v>686759.50228562672</v>
      </c>
      <c r="D279" s="47">
        <f t="shared" si="15"/>
        <v>-5525000</v>
      </c>
      <c r="E279">
        <v>1469723.766598627</v>
      </c>
      <c r="F279">
        <v>1374467.5815041442</v>
      </c>
      <c r="G279">
        <v>1485006.4005898891</v>
      </c>
      <c r="H279">
        <v>1504535.9445103686</v>
      </c>
      <c r="I279">
        <v>2039126.0925794239</v>
      </c>
    </row>
    <row r="280" spans="1:9" x14ac:dyDescent="0.25">
      <c r="A280" s="19">
        <v>247</v>
      </c>
      <c r="B280" s="46">
        <f t="shared" si="13"/>
        <v>0.11903608893316675</v>
      </c>
      <c r="C280" s="46">
        <f t="shared" si="14"/>
        <v>617566.59374024067</v>
      </c>
      <c r="D280" s="47">
        <f t="shared" si="15"/>
        <v>-5525000</v>
      </c>
      <c r="E280">
        <v>1304568.2826431678</v>
      </c>
      <c r="F280">
        <v>1520904.3002550639</v>
      </c>
      <c r="G280">
        <v>1410801.6942103566</v>
      </c>
      <c r="H280">
        <v>1597400.5831559198</v>
      </c>
      <c r="I280">
        <v>1963941.6898758253</v>
      </c>
    </row>
    <row r="281" spans="1:9" x14ac:dyDescent="0.25">
      <c r="A281" s="19">
        <v>248</v>
      </c>
      <c r="B281" s="46">
        <f t="shared" si="13"/>
        <v>0.15110698155229185</v>
      </c>
      <c r="C281" s="46">
        <f t="shared" si="14"/>
        <v>1128578.8683012296</v>
      </c>
      <c r="D281" s="47">
        <f t="shared" si="15"/>
        <v>-5525000</v>
      </c>
      <c r="E281">
        <v>1367296.4732849598</v>
      </c>
      <c r="F281">
        <v>1705881.8801751509</v>
      </c>
      <c r="G281">
        <v>1822904.089085903</v>
      </c>
      <c r="H281">
        <v>1510340.112323408</v>
      </c>
      <c r="I281">
        <v>2009775.9595887663</v>
      </c>
    </row>
    <row r="282" spans="1:9" x14ac:dyDescent="0.25">
      <c r="A282" s="19">
        <v>249</v>
      </c>
      <c r="B282" s="46">
        <f t="shared" si="13"/>
        <v>0.10826667575018822</v>
      </c>
      <c r="C282" s="46">
        <f t="shared" si="14"/>
        <v>467702.20285338629</v>
      </c>
      <c r="D282" s="47">
        <f t="shared" si="15"/>
        <v>-5525000</v>
      </c>
      <c r="E282">
        <v>899328.70741352439</v>
      </c>
      <c r="F282">
        <v>1493681.5322152721</v>
      </c>
      <c r="G282">
        <v>1606229.3682538145</v>
      </c>
      <c r="H282">
        <v>1699264.1034413255</v>
      </c>
      <c r="I282">
        <v>1991399.1075486746</v>
      </c>
    </row>
    <row r="283" spans="1:9" x14ac:dyDescent="0.25">
      <c r="A283" s="19">
        <v>250</v>
      </c>
      <c r="B283" s="46">
        <f t="shared" si="13"/>
        <v>0.1295124653842108</v>
      </c>
      <c r="C283" s="46">
        <f t="shared" si="14"/>
        <v>790719.72072753683</v>
      </c>
      <c r="D283" s="47">
        <f t="shared" si="15"/>
        <v>-5525000</v>
      </c>
      <c r="E283">
        <v>1414121.3532583881</v>
      </c>
      <c r="F283">
        <v>1330622.0356434674</v>
      </c>
      <c r="G283">
        <v>1611143.7091880068</v>
      </c>
      <c r="H283">
        <v>1662459.5813446804</v>
      </c>
      <c r="I283">
        <v>2005072.9056424797</v>
      </c>
    </row>
    <row r="284" spans="1:9" x14ac:dyDescent="0.25">
      <c r="A284" s="19">
        <v>251</v>
      </c>
      <c r="B284" s="46">
        <f t="shared" si="13"/>
        <v>0.12557360276283247</v>
      </c>
      <c r="C284" s="46">
        <f t="shared" si="14"/>
        <v>722928.20318765845</v>
      </c>
      <c r="D284" s="47">
        <f t="shared" si="15"/>
        <v>-5525000</v>
      </c>
      <c r="E284">
        <v>1341081.3685313135</v>
      </c>
      <c r="F284">
        <v>1612392.4186694818</v>
      </c>
      <c r="G284">
        <v>1375124.0360492081</v>
      </c>
      <c r="H284">
        <v>1470474.9131816216</v>
      </c>
      <c r="I284">
        <v>2132522.2740347423</v>
      </c>
    </row>
    <row r="285" spans="1:9" x14ac:dyDescent="0.25">
      <c r="A285" s="19">
        <v>252</v>
      </c>
      <c r="B285" s="46">
        <f t="shared" si="13"/>
        <v>0.10567996599239127</v>
      </c>
      <c r="C285" s="46">
        <f t="shared" si="14"/>
        <v>404382.83468011674</v>
      </c>
      <c r="D285" s="47">
        <f t="shared" si="15"/>
        <v>-5525000</v>
      </c>
      <c r="E285">
        <v>1506882.3095079372</v>
      </c>
      <c r="F285">
        <v>1246554.5413442338</v>
      </c>
      <c r="G285">
        <v>1077032.0316354334</v>
      </c>
      <c r="H285">
        <v>1587668.2508825043</v>
      </c>
      <c r="I285">
        <v>2120880.343948117</v>
      </c>
    </row>
    <row r="286" spans="1:9" x14ac:dyDescent="0.25">
      <c r="A286" s="19">
        <v>253</v>
      </c>
      <c r="B286" s="46">
        <f t="shared" si="13"/>
        <v>0.1422109548873054</v>
      </c>
      <c r="C286" s="46">
        <f t="shared" si="14"/>
        <v>1002878.8777539507</v>
      </c>
      <c r="D286" s="47">
        <f t="shared" si="15"/>
        <v>-5525000</v>
      </c>
      <c r="E286">
        <v>1405312.4423243664</v>
      </c>
      <c r="F286">
        <v>1566049.7982616685</v>
      </c>
      <c r="G286">
        <v>1530454.5898019276</v>
      </c>
      <c r="H286">
        <v>1564071.6382186811</v>
      </c>
      <c r="I286">
        <v>2232592.3276116708</v>
      </c>
    </row>
    <row r="287" spans="1:9" x14ac:dyDescent="0.25">
      <c r="A287" s="19">
        <v>254</v>
      </c>
      <c r="B287" s="46">
        <f t="shared" si="13"/>
        <v>0.11008995077236094</v>
      </c>
      <c r="C287" s="46">
        <f t="shared" si="14"/>
        <v>493257.76148781087</v>
      </c>
      <c r="D287" s="47">
        <f t="shared" si="15"/>
        <v>-5525000</v>
      </c>
      <c r="E287">
        <v>1103757.650520429</v>
      </c>
      <c r="F287">
        <v>1545516.2500665789</v>
      </c>
      <c r="G287">
        <v>1200772.8785377983</v>
      </c>
      <c r="H287">
        <v>1662152.2858223189</v>
      </c>
      <c r="I287">
        <v>2198533.6837065159</v>
      </c>
    </row>
    <row r="288" spans="1:9" x14ac:dyDescent="0.25">
      <c r="A288" s="19">
        <v>255</v>
      </c>
      <c r="B288" s="46">
        <f t="shared" si="13"/>
        <v>0.12212664962047826</v>
      </c>
      <c r="C288" s="46">
        <f t="shared" si="14"/>
        <v>653917.263938847</v>
      </c>
      <c r="D288" s="47">
        <f t="shared" si="15"/>
        <v>-5525000</v>
      </c>
      <c r="E288">
        <v>1383920.1037571277</v>
      </c>
      <c r="F288">
        <v>1633744.8531566802</v>
      </c>
      <c r="G288">
        <v>1439440.5455008089</v>
      </c>
      <c r="H288">
        <v>1319627.9409349672</v>
      </c>
      <c r="I288">
        <v>2033838.9725043424</v>
      </c>
    </row>
    <row r="289" spans="1:17" x14ac:dyDescent="0.25">
      <c r="A289" s="19">
        <v>256</v>
      </c>
      <c r="B289" s="46">
        <f t="shared" si="13"/>
        <v>9.6952094045132053E-2</v>
      </c>
      <c r="C289" s="46">
        <f t="shared" si="14"/>
        <v>265470.59389264323</v>
      </c>
      <c r="D289" s="47">
        <f t="shared" si="15"/>
        <v>-5525000</v>
      </c>
      <c r="E289">
        <v>1360798.9294486563</v>
      </c>
      <c r="F289">
        <v>1280882.7935850455</v>
      </c>
      <c r="G289">
        <v>1264989.1161985286</v>
      </c>
      <c r="H289">
        <v>1445672.9926642738</v>
      </c>
      <c r="I289">
        <v>2006395.5383125329</v>
      </c>
    </row>
    <row r="290" spans="1:17" x14ac:dyDescent="0.25">
      <c r="A290" s="19">
        <v>257</v>
      </c>
      <c r="B290" s="46">
        <f t="shared" ref="B290:B333" si="16">IRR(D290:I290)</f>
        <v>0.11542679288601421</v>
      </c>
      <c r="C290" s="46">
        <f t="shared" ref="C290:C333" si="17">NPV($C$14,E290:I290)+D290</f>
        <v>550102.31474346668</v>
      </c>
      <c r="D290" s="47">
        <f t="shared" si="15"/>
        <v>-5525000</v>
      </c>
      <c r="E290">
        <v>1449720.9085620218</v>
      </c>
      <c r="F290">
        <v>1327303.0052596037</v>
      </c>
      <c r="G290">
        <v>1594229.1540981093</v>
      </c>
      <c r="H290">
        <v>1345065.5982488543</v>
      </c>
      <c r="I290">
        <v>1969789.854495063</v>
      </c>
    </row>
    <row r="291" spans="1:17" x14ac:dyDescent="0.25">
      <c r="A291" s="19">
        <v>258</v>
      </c>
      <c r="B291" s="46">
        <f t="shared" si="16"/>
        <v>0.11678124240290866</v>
      </c>
      <c r="C291" s="46">
        <f t="shared" si="17"/>
        <v>591339.69890548196</v>
      </c>
      <c r="D291" s="47">
        <f t="shared" ref="D291:D333" si="18">$F$28</f>
        <v>-5525000</v>
      </c>
      <c r="E291">
        <v>1191869.7814452846</v>
      </c>
      <c r="F291">
        <v>1380605.647559572</v>
      </c>
      <c r="G291">
        <v>1686523.880626162</v>
      </c>
      <c r="H291">
        <v>1587622.3782434836</v>
      </c>
      <c r="I291">
        <v>1944424.84307048</v>
      </c>
    </row>
    <row r="292" spans="1:17" x14ac:dyDescent="0.25">
      <c r="A292" s="19">
        <v>259</v>
      </c>
      <c r="B292" s="46">
        <f t="shared" si="16"/>
        <v>0.12198385789187283</v>
      </c>
      <c r="C292" s="46">
        <f t="shared" si="17"/>
        <v>679764.62864624336</v>
      </c>
      <c r="D292" s="47">
        <f t="shared" si="18"/>
        <v>-5525000</v>
      </c>
      <c r="E292">
        <v>1458170.6827756809</v>
      </c>
      <c r="F292">
        <v>1098990.6175973043</v>
      </c>
      <c r="G292">
        <v>1544858.2573939054</v>
      </c>
      <c r="H292">
        <v>1645409.1136402867</v>
      </c>
      <c r="I292">
        <v>2169633.5800629794</v>
      </c>
    </row>
    <row r="293" spans="1:17" x14ac:dyDescent="0.25">
      <c r="A293" s="19">
        <v>260</v>
      </c>
      <c r="B293" s="46">
        <f t="shared" si="16"/>
        <v>9.8656155845333382E-2</v>
      </c>
      <c r="C293" s="46">
        <f t="shared" si="17"/>
        <v>299011.40171441343</v>
      </c>
      <c r="D293" s="47">
        <f t="shared" si="18"/>
        <v>-5525000</v>
      </c>
      <c r="E293">
        <v>1229143.0912172748</v>
      </c>
      <c r="F293">
        <v>1154605.9912370434</v>
      </c>
      <c r="G293">
        <v>1626359.7829223434</v>
      </c>
      <c r="H293">
        <v>1345466.6854123361</v>
      </c>
      <c r="I293">
        <v>2080586.7728017955</v>
      </c>
    </row>
    <row r="294" spans="1:17" x14ac:dyDescent="0.25">
      <c r="A294" s="19">
        <v>261</v>
      </c>
      <c r="B294" s="46">
        <f t="shared" si="16"/>
        <v>0.14488305762571962</v>
      </c>
      <c r="C294" s="46">
        <f t="shared" si="17"/>
        <v>1085579.451647195</v>
      </c>
      <c r="D294" s="47">
        <f t="shared" si="18"/>
        <v>-5525000</v>
      </c>
      <c r="E294">
        <v>1184717.230893448</v>
      </c>
      <c r="F294">
        <v>1571345.103789066</v>
      </c>
      <c r="G294">
        <v>1613209.1716557331</v>
      </c>
      <c r="H294">
        <v>1841017.3792254655</v>
      </c>
      <c r="I294">
        <v>2251927.0481029861</v>
      </c>
    </row>
    <row r="295" spans="1:17" x14ac:dyDescent="0.25">
      <c r="A295" s="19">
        <v>262</v>
      </c>
      <c r="B295" s="46">
        <f t="shared" si="16"/>
        <v>0.107365064726338</v>
      </c>
      <c r="C295" s="46">
        <f t="shared" si="17"/>
        <v>435502.54464123398</v>
      </c>
      <c r="D295" s="47">
        <f t="shared" si="18"/>
        <v>-5525000</v>
      </c>
      <c r="E295">
        <v>1222124.7479773685</v>
      </c>
      <c r="F295">
        <v>1335411.0368390717</v>
      </c>
      <c r="G295">
        <v>1611629.3793587536</v>
      </c>
      <c r="H295">
        <v>1439652.5924858879</v>
      </c>
      <c r="I295">
        <v>1978383.8973057908</v>
      </c>
    </row>
    <row r="296" spans="1:17" x14ac:dyDescent="0.25">
      <c r="A296" s="19">
        <v>263</v>
      </c>
      <c r="B296" s="46">
        <f t="shared" si="16"/>
        <v>0.12300396149680259</v>
      </c>
      <c r="C296" s="46">
        <f t="shared" si="17"/>
        <v>651792.86897573899</v>
      </c>
      <c r="D296" s="47">
        <f t="shared" si="18"/>
        <v>-5525000</v>
      </c>
      <c r="E296">
        <v>1702059.6451347321</v>
      </c>
      <c r="F296">
        <v>1290277.817010941</v>
      </c>
      <c r="G296">
        <v>1399865.2477952125</v>
      </c>
      <c r="H296">
        <v>1544712.8729611877</v>
      </c>
      <c r="I296">
        <v>1833630.6532478528</v>
      </c>
    </row>
    <row r="297" spans="1:17" x14ac:dyDescent="0.25">
      <c r="A297" s="19">
        <v>264</v>
      </c>
      <c r="B297" s="46">
        <f t="shared" si="16"/>
        <v>0.10712652741159179</v>
      </c>
      <c r="C297" s="46">
        <f t="shared" si="17"/>
        <v>414358.88293589279</v>
      </c>
      <c r="D297" s="47">
        <f t="shared" si="18"/>
        <v>-5525000</v>
      </c>
      <c r="E297">
        <v>1510837.2472185967</v>
      </c>
      <c r="F297">
        <v>1366239.8376845554</v>
      </c>
      <c r="G297">
        <v>1328091.1091627493</v>
      </c>
      <c r="H297">
        <v>1364391.4511668272</v>
      </c>
      <c r="I297">
        <v>1927692.4142946126</v>
      </c>
    </row>
    <row r="298" spans="1:17" x14ac:dyDescent="0.25">
      <c r="A298" s="19">
        <v>265</v>
      </c>
      <c r="B298" s="46">
        <f t="shared" si="16"/>
        <v>0.14064949674788729</v>
      </c>
      <c r="C298" s="46">
        <f t="shared" si="17"/>
        <v>1002972.5199727435</v>
      </c>
      <c r="D298" s="47">
        <f t="shared" si="18"/>
        <v>-5525000</v>
      </c>
      <c r="E298">
        <v>1356076.2645228626</v>
      </c>
      <c r="F298">
        <v>1302104.0903049321</v>
      </c>
      <c r="G298">
        <v>1669454.1430027746</v>
      </c>
      <c r="H298">
        <v>1795117.4553637402</v>
      </c>
      <c r="I298">
        <v>2220552.2093759254</v>
      </c>
    </row>
    <row r="299" spans="1:17" x14ac:dyDescent="0.25">
      <c r="A299" s="19">
        <v>266</v>
      </c>
      <c r="B299" s="46">
        <f t="shared" si="16"/>
        <v>9.3654399780481956E-2</v>
      </c>
      <c r="C299" s="46">
        <f t="shared" si="17"/>
        <v>221552.63047895022</v>
      </c>
      <c r="D299" s="47">
        <f t="shared" si="18"/>
        <v>-5525000</v>
      </c>
      <c r="E299">
        <v>1171675.7589910505</v>
      </c>
      <c r="F299">
        <v>1169023.9833705742</v>
      </c>
      <c r="G299">
        <v>1412688.0999086713</v>
      </c>
      <c r="H299">
        <v>1474921.8306825215</v>
      </c>
      <c r="I299">
        <v>2136210.6729543637</v>
      </c>
    </row>
    <row r="300" spans="1:17" x14ac:dyDescent="0.25">
      <c r="A300" s="19">
        <v>267</v>
      </c>
      <c r="B300" s="46">
        <f t="shared" si="16"/>
        <v>0.13230183998023448</v>
      </c>
      <c r="C300" s="46">
        <f t="shared" si="17"/>
        <v>844665.11260083131</v>
      </c>
      <c r="D300" s="47">
        <f t="shared" si="18"/>
        <v>-5525000</v>
      </c>
      <c r="E300">
        <v>1323577.6314049237</v>
      </c>
      <c r="F300">
        <v>1506423.2119265976</v>
      </c>
      <c r="G300">
        <v>1530406.5002695713</v>
      </c>
      <c r="H300">
        <v>1588884.9842632199</v>
      </c>
      <c r="I300">
        <v>2159693.712467303</v>
      </c>
    </row>
    <row r="301" spans="1:17" x14ac:dyDescent="0.25">
      <c r="A301" s="19">
        <v>268</v>
      </c>
      <c r="B301" s="46">
        <f t="shared" si="16"/>
        <v>0.15187438394173669</v>
      </c>
      <c r="C301" s="46">
        <f t="shared" si="17"/>
        <v>1093963.730809547</v>
      </c>
      <c r="D301" s="47">
        <f t="shared" si="18"/>
        <v>-5525000</v>
      </c>
      <c r="E301">
        <v>1653383.488695845</v>
      </c>
      <c r="F301">
        <v>1616001.5210197922</v>
      </c>
      <c r="G301">
        <v>1689226.7851929935</v>
      </c>
      <c r="H301">
        <v>1556286.5909451803</v>
      </c>
      <c r="I301">
        <v>1789219.117465579</v>
      </c>
    </row>
    <row r="302" spans="1:17" x14ac:dyDescent="0.25">
      <c r="A302" s="19">
        <v>269</v>
      </c>
      <c r="B302" s="46">
        <f t="shared" si="16"/>
        <v>9.0696505897967183E-2</v>
      </c>
      <c r="C302" s="46">
        <f t="shared" si="17"/>
        <v>172080.58974090591</v>
      </c>
      <c r="D302" s="47">
        <f t="shared" si="18"/>
        <v>-5525000</v>
      </c>
      <c r="E302">
        <v>1075184.2828485044</v>
      </c>
      <c r="F302">
        <v>1413694.1448350295</v>
      </c>
      <c r="G302">
        <v>1322410.7463159887</v>
      </c>
      <c r="H302">
        <v>1332277.1932472251</v>
      </c>
      <c r="I302">
        <v>2145937.3777293121</v>
      </c>
    </row>
    <row r="303" spans="1:17" x14ac:dyDescent="0.25">
      <c r="A303" s="19">
        <v>270</v>
      </c>
      <c r="B303" s="46">
        <f t="shared" si="16"/>
        <v>0.12129569059659318</v>
      </c>
      <c r="C303" s="46">
        <f t="shared" si="17"/>
        <v>669897.40434379783</v>
      </c>
      <c r="D303" s="47">
        <f t="shared" si="18"/>
        <v>-5525000</v>
      </c>
      <c r="E303">
        <v>1458930.224538499</v>
      </c>
      <c r="F303">
        <v>1124579.0236580102</v>
      </c>
      <c r="G303">
        <v>1443405.3739663502</v>
      </c>
      <c r="H303">
        <v>1685582.8020162308</v>
      </c>
      <c r="I303">
        <v>2196815.0797806783</v>
      </c>
    </row>
    <row r="304" spans="1:17" x14ac:dyDescent="0.25">
      <c r="A304" s="19">
        <v>271</v>
      </c>
      <c r="B304" s="46">
        <f t="shared" si="16"/>
        <v>8.7215455479586534E-2</v>
      </c>
      <c r="C304" s="46">
        <f t="shared" si="17"/>
        <v>115385.25063446444</v>
      </c>
      <c r="D304" s="47">
        <f t="shared" si="18"/>
        <v>-5525000</v>
      </c>
      <c r="E304">
        <v>1091212.0806041732</v>
      </c>
      <c r="F304">
        <v>1235641.9691650113</v>
      </c>
      <c r="G304">
        <v>1501230.4786708844</v>
      </c>
      <c r="H304">
        <v>1432447.0070242542</v>
      </c>
      <c r="I304">
        <v>1948363.4098765077</v>
      </c>
      <c r="Q304"/>
    </row>
    <row r="305" spans="1:9" x14ac:dyDescent="0.25">
      <c r="A305" s="19">
        <v>272</v>
      </c>
      <c r="B305" s="46">
        <f t="shared" si="16"/>
        <v>0.14399633015300561</v>
      </c>
      <c r="C305" s="46">
        <f t="shared" si="17"/>
        <v>1027637.8031648342</v>
      </c>
      <c r="D305" s="47">
        <f t="shared" si="18"/>
        <v>-5525000</v>
      </c>
      <c r="E305">
        <v>1457007.6664257888</v>
      </c>
      <c r="F305">
        <v>1519432.9652012708</v>
      </c>
      <c r="G305">
        <v>1644915.1801410769</v>
      </c>
      <c r="H305">
        <v>1398604.2544239326</v>
      </c>
      <c r="I305">
        <v>2302562.2561294921</v>
      </c>
    </row>
    <row r="306" spans="1:9" x14ac:dyDescent="0.25">
      <c r="A306" s="19">
        <v>273</v>
      </c>
      <c r="B306" s="46">
        <f t="shared" si="16"/>
        <v>0.13424558276711096</v>
      </c>
      <c r="C306" s="46">
        <f t="shared" si="17"/>
        <v>850770.86048932467</v>
      </c>
      <c r="D306" s="47">
        <f t="shared" si="18"/>
        <v>-5525000</v>
      </c>
      <c r="E306">
        <v>1529596.2575636897</v>
      </c>
      <c r="F306">
        <v>1433369.4142487398</v>
      </c>
      <c r="G306">
        <v>1551696.1796223475</v>
      </c>
      <c r="H306">
        <v>1493507.7528171833</v>
      </c>
      <c r="I306">
        <v>2058580.8663713732</v>
      </c>
    </row>
    <row r="307" spans="1:9" x14ac:dyDescent="0.25">
      <c r="A307" s="19">
        <v>274</v>
      </c>
      <c r="B307" s="46">
        <f t="shared" si="16"/>
        <v>0.14414228260411344</v>
      </c>
      <c r="C307" s="46">
        <f t="shared" si="17"/>
        <v>1029916.3426125841</v>
      </c>
      <c r="D307" s="47">
        <f t="shared" si="18"/>
        <v>-5525000</v>
      </c>
      <c r="E307">
        <v>1429130.7443217468</v>
      </c>
      <c r="F307">
        <v>1679882.1551355682</v>
      </c>
      <c r="G307">
        <v>1367022.4846194903</v>
      </c>
      <c r="H307">
        <v>1585026.9077382991</v>
      </c>
      <c r="I307">
        <v>2264514.227401848</v>
      </c>
    </row>
    <row r="308" spans="1:9" x14ac:dyDescent="0.25">
      <c r="A308" s="19">
        <v>275</v>
      </c>
      <c r="B308" s="46">
        <f t="shared" si="16"/>
        <v>0.12672444305419206</v>
      </c>
      <c r="C308" s="46">
        <f t="shared" si="17"/>
        <v>759316.60920041241</v>
      </c>
      <c r="D308" s="47">
        <f t="shared" si="18"/>
        <v>-5525000</v>
      </c>
      <c r="E308">
        <v>1254501.9635526207</v>
      </c>
      <c r="F308">
        <v>1481898.0620156832</v>
      </c>
      <c r="G308">
        <v>1417615.7422028771</v>
      </c>
      <c r="H308">
        <v>1816527.1880171504</v>
      </c>
      <c r="I308">
        <v>2044865.6294252186</v>
      </c>
    </row>
    <row r="309" spans="1:9" x14ac:dyDescent="0.25">
      <c r="A309" s="19">
        <v>276</v>
      </c>
      <c r="B309" s="46">
        <f t="shared" si="16"/>
        <v>0.12415154412605434</v>
      </c>
      <c r="C309" s="46">
        <f t="shared" si="17"/>
        <v>673001.85668540467</v>
      </c>
      <c r="D309" s="47">
        <f t="shared" si="18"/>
        <v>-5525000</v>
      </c>
      <c r="E309">
        <v>1436440.6943004089</v>
      </c>
      <c r="F309">
        <v>1758923.6111825481</v>
      </c>
      <c r="G309">
        <v>1338481.1766358032</v>
      </c>
      <c r="H309">
        <v>1333505.6932156449</v>
      </c>
      <c r="I309">
        <v>1935508.668605068</v>
      </c>
    </row>
    <row r="310" spans="1:9" x14ac:dyDescent="0.25">
      <c r="A310" s="19">
        <v>277</v>
      </c>
      <c r="B310" s="46">
        <f t="shared" si="16"/>
        <v>0.11519651797650265</v>
      </c>
      <c r="C310" s="46">
        <f t="shared" si="17"/>
        <v>542124.763330088</v>
      </c>
      <c r="D310" s="47">
        <f t="shared" si="18"/>
        <v>-5525000</v>
      </c>
      <c r="E310">
        <v>1601520.4628219455</v>
      </c>
      <c r="F310">
        <v>1192440.5160834463</v>
      </c>
      <c r="G310">
        <v>1458573.3581683305</v>
      </c>
      <c r="H310">
        <v>1497688.8136480711</v>
      </c>
      <c r="I310">
        <v>1914830.3402221398</v>
      </c>
    </row>
    <row r="311" spans="1:9" x14ac:dyDescent="0.25">
      <c r="A311" s="19">
        <v>278</v>
      </c>
      <c r="B311" s="46">
        <f t="shared" si="16"/>
        <v>0.12704188110042947</v>
      </c>
      <c r="C311" s="46">
        <f t="shared" si="17"/>
        <v>747620.60484582372</v>
      </c>
      <c r="D311" s="47">
        <f t="shared" si="18"/>
        <v>-5525000</v>
      </c>
      <c r="E311">
        <v>1443649.6903671743</v>
      </c>
      <c r="F311">
        <v>1231777.4124903404</v>
      </c>
      <c r="G311">
        <v>1701522.6988136126</v>
      </c>
      <c r="H311">
        <v>1632197.6230720766</v>
      </c>
      <c r="I311">
        <v>1953353.8073051358</v>
      </c>
    </row>
    <row r="312" spans="1:9" x14ac:dyDescent="0.25">
      <c r="A312" s="19">
        <v>279</v>
      </c>
      <c r="B312" s="46">
        <f t="shared" si="16"/>
        <v>8.9291543093688919E-2</v>
      </c>
      <c r="C312" s="46">
        <f t="shared" si="17"/>
        <v>149460.22770307865</v>
      </c>
      <c r="D312" s="47">
        <f t="shared" si="18"/>
        <v>-5525000</v>
      </c>
      <c r="E312">
        <v>1075628.343636645</v>
      </c>
      <c r="F312">
        <v>1368656.7630110981</v>
      </c>
      <c r="G312">
        <v>1334073.992684687</v>
      </c>
      <c r="H312">
        <v>1385931.8099967795</v>
      </c>
      <c r="I312">
        <v>2097279.6385581358</v>
      </c>
    </row>
    <row r="313" spans="1:9" x14ac:dyDescent="0.25">
      <c r="A313" s="19">
        <v>280</v>
      </c>
      <c r="B313" s="46">
        <f t="shared" si="16"/>
        <v>0.13628970143075647</v>
      </c>
      <c r="C313" s="46">
        <f t="shared" si="17"/>
        <v>910966.95614700764</v>
      </c>
      <c r="D313" s="47">
        <f t="shared" si="18"/>
        <v>-5525000</v>
      </c>
      <c r="E313">
        <v>1165555.4280823073</v>
      </c>
      <c r="F313">
        <v>1655205.0627660388</v>
      </c>
      <c r="G313">
        <v>1852587.2676676661</v>
      </c>
      <c r="H313">
        <v>1378592.187753472</v>
      </c>
      <c r="I313">
        <v>2136002.6260413332</v>
      </c>
    </row>
    <row r="314" spans="1:9" x14ac:dyDescent="0.25">
      <c r="A314" s="19">
        <v>281</v>
      </c>
      <c r="B314" s="46">
        <f t="shared" si="16"/>
        <v>0.1204225771925429</v>
      </c>
      <c r="C314" s="46">
        <f t="shared" si="17"/>
        <v>627205.92407515272</v>
      </c>
      <c r="D314" s="47">
        <f t="shared" si="18"/>
        <v>-5525000</v>
      </c>
      <c r="E314">
        <v>1564341.4562818455</v>
      </c>
      <c r="F314">
        <v>1298862.6511878134</v>
      </c>
      <c r="G314">
        <v>1391709.1266833884</v>
      </c>
      <c r="H314">
        <v>1590009.8018356375</v>
      </c>
      <c r="I314">
        <v>1934646.6381580438</v>
      </c>
    </row>
    <row r="315" spans="1:9" x14ac:dyDescent="0.25">
      <c r="A315" s="19">
        <v>282</v>
      </c>
      <c r="B315" s="46">
        <f t="shared" si="16"/>
        <v>0.12737934544033536</v>
      </c>
      <c r="C315" s="46">
        <f t="shared" si="17"/>
        <v>763885.04263380729</v>
      </c>
      <c r="D315" s="47">
        <f t="shared" si="18"/>
        <v>-5525000</v>
      </c>
      <c r="E315">
        <v>1614573.5307817906</v>
      </c>
      <c r="F315">
        <v>1040882.0916063301</v>
      </c>
      <c r="G315">
        <v>1476288.2117523693</v>
      </c>
      <c r="H315">
        <v>1589447.3930494287</v>
      </c>
      <c r="I315">
        <v>2294068.4851096347</v>
      </c>
    </row>
    <row r="316" spans="1:9" x14ac:dyDescent="0.25">
      <c r="A316" s="19">
        <v>283</v>
      </c>
      <c r="B316" s="46">
        <f t="shared" si="16"/>
        <v>0.11500342160770916</v>
      </c>
      <c r="C316" s="46">
        <f t="shared" si="17"/>
        <v>565611.41806075256</v>
      </c>
      <c r="D316" s="47">
        <f t="shared" si="18"/>
        <v>-5525000</v>
      </c>
      <c r="E316">
        <v>1212925.8343465428</v>
      </c>
      <c r="F316">
        <v>1430663.7811978031</v>
      </c>
      <c r="G316">
        <v>1335532.0263784667</v>
      </c>
      <c r="H316">
        <v>1840429.3909007693</v>
      </c>
      <c r="I316">
        <v>1951281.5236271461</v>
      </c>
    </row>
    <row r="317" spans="1:9" x14ac:dyDescent="0.25">
      <c r="A317" s="19">
        <v>284</v>
      </c>
      <c r="B317" s="46">
        <f t="shared" si="16"/>
        <v>0.1154819563713394</v>
      </c>
      <c r="C317" s="46">
        <f t="shared" si="17"/>
        <v>552579.66619619168</v>
      </c>
      <c r="D317" s="47">
        <f t="shared" si="18"/>
        <v>-5525000</v>
      </c>
      <c r="E317">
        <v>1449883.5944268014</v>
      </c>
      <c r="F317">
        <v>1344006.7849523653</v>
      </c>
      <c r="G317">
        <v>1508037.1938623718</v>
      </c>
      <c r="H317">
        <v>1409111.6467135153</v>
      </c>
      <c r="I317">
        <v>1983531.1825704747</v>
      </c>
    </row>
    <row r="318" spans="1:9" x14ac:dyDescent="0.25">
      <c r="A318" s="19">
        <v>285</v>
      </c>
      <c r="B318" s="46">
        <f t="shared" si="16"/>
        <v>0.11595592462423054</v>
      </c>
      <c r="C318" s="46">
        <f t="shared" si="17"/>
        <v>574316.59700680431</v>
      </c>
      <c r="D318" s="47">
        <f t="shared" si="18"/>
        <v>-5525000</v>
      </c>
      <c r="E318">
        <v>1182334.2410879652</v>
      </c>
      <c r="F318">
        <v>1543293.2176417704</v>
      </c>
      <c r="G318">
        <v>1421776.6804634882</v>
      </c>
      <c r="H318">
        <v>1735430.8423783523</v>
      </c>
      <c r="I318">
        <v>1876613.8276009923</v>
      </c>
    </row>
    <row r="319" spans="1:9" x14ac:dyDescent="0.25">
      <c r="A319" s="19">
        <v>286</v>
      </c>
      <c r="B319" s="46">
        <f t="shared" si="16"/>
        <v>0.1290772305977006</v>
      </c>
      <c r="C319" s="46">
        <f t="shared" si="17"/>
        <v>763740.8457450876</v>
      </c>
      <c r="D319" s="47">
        <f t="shared" si="18"/>
        <v>-5525000</v>
      </c>
      <c r="E319">
        <v>1388873.6666503339</v>
      </c>
      <c r="F319">
        <v>1643241.3420852423</v>
      </c>
      <c r="G319">
        <v>1514584.1914730843</v>
      </c>
      <c r="H319">
        <v>1441223.1761490121</v>
      </c>
      <c r="I319">
        <v>1957533.3333637144</v>
      </c>
    </row>
    <row r="320" spans="1:9" x14ac:dyDescent="0.25">
      <c r="A320" s="19">
        <v>287</v>
      </c>
      <c r="B320" s="46">
        <f t="shared" si="16"/>
        <v>0.1121423101913428</v>
      </c>
      <c r="C320" s="46">
        <f t="shared" si="17"/>
        <v>521571.87617256399</v>
      </c>
      <c r="D320" s="47">
        <f t="shared" si="18"/>
        <v>-5525000</v>
      </c>
      <c r="E320">
        <v>1285435.8110361593</v>
      </c>
      <c r="F320">
        <v>1231679.8691835753</v>
      </c>
      <c r="G320">
        <v>1338387.726055196</v>
      </c>
      <c r="H320">
        <v>1900016.0731557999</v>
      </c>
      <c r="I320">
        <v>1970901.8822982369</v>
      </c>
    </row>
    <row r="321" spans="1:9" x14ac:dyDescent="0.25">
      <c r="A321" s="19">
        <v>288</v>
      </c>
      <c r="B321" s="46">
        <f t="shared" si="16"/>
        <v>0.12639813931389843</v>
      </c>
      <c r="C321" s="46">
        <f t="shared" si="17"/>
        <v>751885.56816355977</v>
      </c>
      <c r="D321" s="47">
        <f t="shared" si="18"/>
        <v>-5525000</v>
      </c>
      <c r="E321">
        <v>1212180.4465950211</v>
      </c>
      <c r="F321">
        <v>1417238.275157582</v>
      </c>
      <c r="G321">
        <v>1685031.7408810658</v>
      </c>
      <c r="H321">
        <v>1737782.1135561108</v>
      </c>
      <c r="I321">
        <v>1946108.3177634617</v>
      </c>
    </row>
    <row r="322" spans="1:9" x14ac:dyDescent="0.25">
      <c r="A322" s="19">
        <v>289</v>
      </c>
      <c r="B322" s="46">
        <f t="shared" si="16"/>
        <v>0.10022407794381016</v>
      </c>
      <c r="C322" s="46">
        <f t="shared" si="17"/>
        <v>315341.5821453603</v>
      </c>
      <c r="D322" s="47">
        <f t="shared" si="18"/>
        <v>-5525000</v>
      </c>
      <c r="E322">
        <v>1358927.1893524076</v>
      </c>
      <c r="F322">
        <v>1220532.6473712954</v>
      </c>
      <c r="G322">
        <v>1414059.6747623638</v>
      </c>
      <c r="H322">
        <v>1630855.8910132861</v>
      </c>
      <c r="I322">
        <v>1784369.2369683748</v>
      </c>
    </row>
    <row r="323" spans="1:9" x14ac:dyDescent="0.25">
      <c r="A323" s="19">
        <v>290</v>
      </c>
      <c r="B323" s="46">
        <f t="shared" si="16"/>
        <v>0.12975078076988655</v>
      </c>
      <c r="C323" s="46">
        <f t="shared" si="17"/>
        <v>793853.9401597809</v>
      </c>
      <c r="D323" s="47">
        <f t="shared" si="18"/>
        <v>-5525000</v>
      </c>
      <c r="E323">
        <v>1396619.8330253339</v>
      </c>
      <c r="F323">
        <v>1498622.4758694912</v>
      </c>
      <c r="G323">
        <v>1329550.5070985816</v>
      </c>
      <c r="H323">
        <v>1797871.1779470332</v>
      </c>
      <c r="I323">
        <v>2004062.3433419722</v>
      </c>
    </row>
    <row r="324" spans="1:9" x14ac:dyDescent="0.25">
      <c r="A324" s="19">
        <v>291</v>
      </c>
      <c r="B324" s="46">
        <f t="shared" si="16"/>
        <v>0.12377528094738066</v>
      </c>
      <c r="C324" s="46">
        <f t="shared" si="17"/>
        <v>700778.55308372248</v>
      </c>
      <c r="D324" s="47">
        <f t="shared" si="18"/>
        <v>-5525000</v>
      </c>
      <c r="E324">
        <v>1252494.9929629022</v>
      </c>
      <c r="F324">
        <v>1692984.335809309</v>
      </c>
      <c r="G324">
        <v>1196257.2373434957</v>
      </c>
      <c r="H324">
        <v>1725384.9049630817</v>
      </c>
      <c r="I324">
        <v>2052302.7949752912</v>
      </c>
    </row>
    <row r="325" spans="1:9" x14ac:dyDescent="0.25">
      <c r="A325" s="19">
        <v>292</v>
      </c>
      <c r="B325" s="46">
        <f t="shared" si="16"/>
        <v>8.9767952365837012E-2</v>
      </c>
      <c r="C325" s="46">
        <f t="shared" si="17"/>
        <v>147249.77093762252</v>
      </c>
      <c r="D325" s="47">
        <f t="shared" si="18"/>
        <v>-5525000</v>
      </c>
      <c r="E325">
        <v>1386610.2185547154</v>
      </c>
      <c r="F325">
        <v>1371634.0507607707</v>
      </c>
      <c r="G325">
        <v>1312327.29224427</v>
      </c>
      <c r="H325">
        <v>1346833.6559491009</v>
      </c>
      <c r="I325">
        <v>1734785.1774434429</v>
      </c>
    </row>
    <row r="326" spans="1:9" x14ac:dyDescent="0.25">
      <c r="A326" s="19">
        <v>293</v>
      </c>
      <c r="B326" s="46">
        <f t="shared" si="16"/>
        <v>0.13172754066343528</v>
      </c>
      <c r="C326" s="46">
        <f t="shared" si="17"/>
        <v>828850.51646882761</v>
      </c>
      <c r="D326" s="47">
        <f t="shared" si="18"/>
        <v>-5525000</v>
      </c>
      <c r="E326">
        <v>1341556.6363564087</v>
      </c>
      <c r="F326">
        <v>1520629.7465419662</v>
      </c>
      <c r="G326">
        <v>1492914.0591178727</v>
      </c>
      <c r="H326">
        <v>1673605.9505056774</v>
      </c>
      <c r="I326">
        <v>2046333.0422831103</v>
      </c>
    </row>
    <row r="327" spans="1:9" x14ac:dyDescent="0.25">
      <c r="A327" s="19">
        <v>294</v>
      </c>
      <c r="B327" s="46">
        <f t="shared" si="16"/>
        <v>0.11505538665536474</v>
      </c>
      <c r="C327" s="46">
        <f t="shared" si="17"/>
        <v>556613.2843378894</v>
      </c>
      <c r="D327" s="47">
        <f t="shared" si="18"/>
        <v>-5525000</v>
      </c>
      <c r="E327">
        <v>1349001.305237771</v>
      </c>
      <c r="F327">
        <v>1406082.3563022164</v>
      </c>
      <c r="G327">
        <v>1327163.765627454</v>
      </c>
      <c r="H327">
        <v>1643288.5698996843</v>
      </c>
      <c r="I327">
        <v>2006569.479174247</v>
      </c>
    </row>
    <row r="328" spans="1:9" x14ac:dyDescent="0.25">
      <c r="A328" s="19">
        <v>295</v>
      </c>
      <c r="B328" s="46">
        <f t="shared" si="16"/>
        <v>0.13555464345561719</v>
      </c>
      <c r="C328" s="46">
        <f t="shared" si="17"/>
        <v>882360.20168327726</v>
      </c>
      <c r="D328" s="47">
        <f t="shared" si="18"/>
        <v>-5525000</v>
      </c>
      <c r="E328">
        <v>1365423.7100071716</v>
      </c>
      <c r="F328">
        <v>1544010.467900956</v>
      </c>
      <c r="G328">
        <v>1600642.7970481743</v>
      </c>
      <c r="H328">
        <v>1655893.9959360005</v>
      </c>
      <c r="I328">
        <v>1956506.5706888316</v>
      </c>
    </row>
    <row r="329" spans="1:9" x14ac:dyDescent="0.25">
      <c r="A329" s="19">
        <v>296</v>
      </c>
      <c r="B329" s="46">
        <f t="shared" si="16"/>
        <v>8.0959036484508973E-2</v>
      </c>
      <c r="C329" s="46">
        <f t="shared" si="17"/>
        <v>15348.928895005956</v>
      </c>
      <c r="D329" s="47">
        <f t="shared" si="18"/>
        <v>-5525000</v>
      </c>
      <c r="E329">
        <v>1157425.2275694837</v>
      </c>
      <c r="F329">
        <v>1248278.9432987953</v>
      </c>
      <c r="G329">
        <v>1145907.1559059955</v>
      </c>
      <c r="H329">
        <v>1446429.8059429866</v>
      </c>
      <c r="I329">
        <v>2094723.7310724785</v>
      </c>
    </row>
    <row r="330" spans="1:9" x14ac:dyDescent="0.25">
      <c r="A330" s="19">
        <v>297</v>
      </c>
      <c r="B330" s="46">
        <f t="shared" si="16"/>
        <v>0.11483473133878452</v>
      </c>
      <c r="C330" s="46">
        <f t="shared" si="17"/>
        <v>544252.26795527898</v>
      </c>
      <c r="D330" s="47">
        <f t="shared" si="18"/>
        <v>-5525000</v>
      </c>
      <c r="E330">
        <v>1354395.1772534731</v>
      </c>
      <c r="F330">
        <v>1467801.6899460668</v>
      </c>
      <c r="G330">
        <v>1438897.2361033373</v>
      </c>
      <c r="H330">
        <v>1507244.988166437</v>
      </c>
      <c r="I330">
        <v>1919921.3505021515</v>
      </c>
    </row>
    <row r="331" spans="1:9" x14ac:dyDescent="0.25">
      <c r="A331" s="19">
        <v>298</v>
      </c>
      <c r="B331" s="46">
        <f t="shared" si="16"/>
        <v>0.10595422775587759</v>
      </c>
      <c r="C331" s="46">
        <f t="shared" si="17"/>
        <v>412555.50073901005</v>
      </c>
      <c r="D331" s="47">
        <f t="shared" si="18"/>
        <v>-5525000</v>
      </c>
      <c r="E331">
        <v>1259083.088365451</v>
      </c>
      <c r="F331">
        <v>1405144.9514817828</v>
      </c>
      <c r="G331">
        <v>1344231.7979482757</v>
      </c>
      <c r="H331">
        <v>1526992.5624089383</v>
      </c>
      <c r="I331">
        <v>2024106.4697006703</v>
      </c>
    </row>
    <row r="332" spans="1:9" x14ac:dyDescent="0.25">
      <c r="A332" s="19">
        <v>299</v>
      </c>
      <c r="B332" s="46">
        <f t="shared" si="16"/>
        <v>0.1315001528238211</v>
      </c>
      <c r="C332" s="46">
        <f t="shared" si="17"/>
        <v>831501.21592544299</v>
      </c>
      <c r="D332" s="47">
        <f t="shared" si="18"/>
        <v>-5525000</v>
      </c>
      <c r="E332">
        <v>1449680.3223609552</v>
      </c>
      <c r="F332">
        <v>1356361.8725720185</v>
      </c>
      <c r="G332">
        <v>1425239.4678536509</v>
      </c>
      <c r="H332">
        <v>1647675.2902200106</v>
      </c>
      <c r="I332">
        <v>2216997.6767077213</v>
      </c>
    </row>
    <row r="333" spans="1:9" x14ac:dyDescent="0.25">
      <c r="A333" s="19">
        <v>300</v>
      </c>
      <c r="B333" s="46">
        <f t="shared" si="16"/>
        <v>8.9151610934200765E-2</v>
      </c>
      <c r="C333" s="46">
        <f t="shared" si="17"/>
        <v>149567.6444256464</v>
      </c>
      <c r="D333" s="47">
        <f t="shared" si="18"/>
        <v>-5525000</v>
      </c>
      <c r="E333">
        <v>1161264.8868266935</v>
      </c>
      <c r="F333">
        <v>1146413.7177108238</v>
      </c>
      <c r="G333">
        <v>1150600.1485671438</v>
      </c>
      <c r="H333">
        <v>1744503.3930890504</v>
      </c>
      <c r="I333">
        <v>2087638.7105022485</v>
      </c>
    </row>
  </sheetData>
  <sortState ref="K54:K84">
    <sortCondition ref="K54"/>
  </sortState>
  <mergeCells count="19">
    <mergeCell ref="A32:I32"/>
    <mergeCell ref="T2:U2"/>
    <mergeCell ref="E2:K2"/>
    <mergeCell ref="E17:K17"/>
    <mergeCell ref="E23:K23"/>
    <mergeCell ref="M2:R2"/>
    <mergeCell ref="O13:P13"/>
    <mergeCell ref="O14:P14"/>
    <mergeCell ref="O15:P15"/>
    <mergeCell ref="O16:P16"/>
    <mergeCell ref="O17:P17"/>
    <mergeCell ref="M3:N3"/>
    <mergeCell ref="M12:N12"/>
    <mergeCell ref="O4:P4"/>
    <mergeCell ref="O5:P5"/>
    <mergeCell ref="O6:P6"/>
    <mergeCell ref="O7:P7"/>
    <mergeCell ref="O8:P8"/>
    <mergeCell ref="M11:R11"/>
  </mergeCells>
  <phoneticPr fontId="1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1">
                <anchor moveWithCells="1" sizeWithCells="1">
                  <from>
                    <xdr:col>18</xdr:col>
                    <xdr:colOff>409575</xdr:colOff>
                    <xdr:row>6</xdr:row>
                    <xdr:rowOff>142875</xdr:rowOff>
                  </from>
                  <to>
                    <xdr:col>21</xdr:col>
                    <xdr:colOff>1247775</xdr:colOff>
                    <xdr:row>15</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L14"/>
  <sheetViews>
    <sheetView topLeftCell="A2" workbookViewId="0">
      <selection activeCell="B4" sqref="B4"/>
    </sheetView>
  </sheetViews>
  <sheetFormatPr defaultColWidth="8.85546875" defaultRowHeight="15" x14ac:dyDescent="0.25"/>
  <cols>
    <col min="1" max="1" width="17.85546875" customWidth="1"/>
    <col min="2" max="2" width="108" customWidth="1"/>
    <col min="8" max="8" width="12.42578125" bestFit="1" customWidth="1"/>
    <col min="11" max="11" width="10.7109375" bestFit="1" customWidth="1"/>
    <col min="12" max="12" width="11" bestFit="1" customWidth="1"/>
  </cols>
  <sheetData>
    <row r="2" spans="1:12" ht="218.25" customHeight="1" x14ac:dyDescent="0.25">
      <c r="A2" s="20" t="s">
        <v>73</v>
      </c>
      <c r="B2" s="18" t="s">
        <v>106</v>
      </c>
      <c r="G2" s="50"/>
      <c r="H2" s="51"/>
      <c r="I2" s="91"/>
      <c r="J2" s="91"/>
      <c r="K2" s="52"/>
      <c r="L2" s="51"/>
    </row>
    <row r="3" spans="1:12" x14ac:dyDescent="0.25">
      <c r="G3" s="50"/>
      <c r="H3" s="51"/>
      <c r="I3" s="91"/>
      <c r="J3" s="91"/>
      <c r="K3" s="52"/>
      <c r="L3" s="51"/>
    </row>
    <row r="4" spans="1:12" ht="88.5" customHeight="1" x14ac:dyDescent="0.25">
      <c r="A4" s="20" t="s">
        <v>76</v>
      </c>
      <c r="B4" s="18" t="s">
        <v>107</v>
      </c>
      <c r="G4" s="50"/>
      <c r="H4" s="51"/>
      <c r="I4" s="91"/>
      <c r="J4" s="91"/>
      <c r="K4" s="52"/>
      <c r="L4" s="51"/>
    </row>
    <row r="5" spans="1:12" x14ac:dyDescent="0.25">
      <c r="G5" s="50"/>
      <c r="H5" s="51"/>
      <c r="I5" s="91"/>
      <c r="J5" s="91"/>
      <c r="K5" s="52"/>
      <c r="L5" s="51"/>
    </row>
    <row r="6" spans="1:12" x14ac:dyDescent="0.25">
      <c r="G6" s="53"/>
      <c r="H6" s="53"/>
      <c r="I6" s="53"/>
      <c r="J6" s="53"/>
      <c r="K6" s="53"/>
      <c r="L6" s="53"/>
    </row>
    <row r="7" spans="1:12" x14ac:dyDescent="0.25">
      <c r="G7" s="53"/>
      <c r="H7" s="53"/>
      <c r="I7" s="53"/>
      <c r="J7" s="53"/>
      <c r="K7" s="53"/>
      <c r="L7" s="53"/>
    </row>
    <row r="8" spans="1:12" x14ac:dyDescent="0.25">
      <c r="G8" s="92"/>
      <c r="H8" s="92"/>
      <c r="I8" s="92"/>
      <c r="J8" s="92"/>
      <c r="K8" s="92"/>
      <c r="L8" s="92"/>
    </row>
    <row r="9" spans="1:12" x14ac:dyDescent="0.25">
      <c r="G9" s="91"/>
      <c r="H9" s="91"/>
      <c r="I9" s="50"/>
      <c r="J9" s="50"/>
      <c r="K9" s="50"/>
      <c r="L9" s="50"/>
    </row>
    <row r="10" spans="1:12" x14ac:dyDescent="0.25">
      <c r="G10" s="54"/>
      <c r="H10" s="54"/>
      <c r="I10" s="91"/>
      <c r="J10" s="91"/>
      <c r="K10" s="52"/>
      <c r="L10" s="52"/>
    </row>
    <row r="11" spans="1:12" x14ac:dyDescent="0.25">
      <c r="G11" s="50"/>
      <c r="H11" s="52"/>
      <c r="I11" s="91"/>
      <c r="J11" s="91"/>
      <c r="K11" s="52"/>
      <c r="L11" s="52"/>
    </row>
    <row r="12" spans="1:12" x14ac:dyDescent="0.25">
      <c r="G12" s="50"/>
      <c r="H12" s="52"/>
      <c r="I12" s="91"/>
      <c r="J12" s="91"/>
      <c r="K12" s="52"/>
      <c r="L12" s="52"/>
    </row>
    <row r="13" spans="1:12" x14ac:dyDescent="0.25">
      <c r="G13" s="50"/>
      <c r="H13" s="52"/>
      <c r="I13" s="91"/>
      <c r="J13" s="91"/>
      <c r="K13" s="52"/>
      <c r="L13" s="52"/>
    </row>
    <row r="14" spans="1:12" x14ac:dyDescent="0.25">
      <c r="G14" s="50"/>
      <c r="H14" s="52"/>
      <c r="I14" s="91"/>
      <c r="J14" s="91"/>
      <c r="K14" s="52"/>
      <c r="L14" s="52"/>
    </row>
  </sheetData>
  <mergeCells count="11">
    <mergeCell ref="I10:J10"/>
    <mergeCell ref="I11:J11"/>
    <mergeCell ref="I12:J12"/>
    <mergeCell ref="I13:J13"/>
    <mergeCell ref="I14:J14"/>
    <mergeCell ref="G9:H9"/>
    <mergeCell ref="I2:J2"/>
    <mergeCell ref="I3:J3"/>
    <mergeCell ref="I4:J4"/>
    <mergeCell ref="I5:J5"/>
    <mergeCell ref="G8:L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Key</vt:lpstr>
      <vt:lpstr>Monte Carlo Cash Flows</vt:lpstr>
      <vt:lpstr>Question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Ferris</dc:creator>
  <cp:lastModifiedBy>Kosberg, Erik</cp:lastModifiedBy>
  <dcterms:created xsi:type="dcterms:W3CDTF">2019-03-01T08:54:12Z</dcterms:created>
  <dcterms:modified xsi:type="dcterms:W3CDTF">2019-10-14T20:21:57Z</dcterms:modified>
</cp:coreProperties>
</file>