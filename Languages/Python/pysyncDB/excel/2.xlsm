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2.xml" ContentType="application/vnd.openxmlformats-officedocument.drawing+xml"/>
  <Override PartName="/xl/ctrlProps/ctrlProp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23" codeName="{51196F13-6AD0-C1B8-E2B4-A1F9AE17003E}"/>
  <workbookPr codeName="ThisWorkbook"/>
  <mc:AlternateContent xmlns:mc="http://schemas.openxmlformats.org/markup-compatibility/2006">
    <mc:Choice Requires="x15">
      <x15ac:absPath xmlns:x15ac="http://schemas.microsoft.com/office/spreadsheetml/2010/11/ac" url="/Users/erikdkosberg/Downloads/"/>
    </mc:Choice>
  </mc:AlternateContent>
  <xr:revisionPtr revIDLastSave="0" documentId="13_ncr:1_{2C48B662-B9CB-8B48-A3E1-452B5A696D93}" xr6:coauthVersionLast="40" xr6:coauthVersionMax="40" xr10:uidLastSave="{00000000-0000-0000-0000-000000000000}"/>
  <bookViews>
    <workbookView xWindow="0" yWindow="460" windowWidth="25600" windowHeight="14800" activeTab="1" xr2:uid="{ED23CE06-3FAB-4851-AD5D-E5CAE60C2F85}"/>
  </bookViews>
  <sheets>
    <sheet name="Worksheet Key" sheetId="1" r:id="rId1"/>
    <sheet name="Capital Budgeting" sheetId="5" r:id="rId2"/>
    <sheet name="NPV Profile &amp; Questions" sheetId="4" r:id="rId3"/>
  </sheets>
  <functionGroups builtInGroupCount="19"/>
  <definedNames>
    <definedName name="solver_adj" localSheetId="1" hidden="1">'Capital Budgeting'!$J$19</definedName>
    <definedName name="solver_cvg" localSheetId="1" hidden="1">0.0001</definedName>
    <definedName name="solver_drv" localSheetId="1" hidden="1">1</definedName>
    <definedName name="solver_eng" localSheetId="1" hidden="1">1</definedName>
    <definedName name="solver_eng" localSheetId="2" hidden="1">1</definedName>
    <definedName name="solver_itr" localSheetId="1" hidden="1">2147483647</definedName>
    <definedName name="solver_lhs1" localSheetId="1" hidden="1">'Capital Budgeting'!$J$19</definedName>
    <definedName name="solver_lhs2" localSheetId="1" hidden="1">'Capital Budgeting'!$K$19</definedName>
    <definedName name="solver_lhs3" localSheetId="1" hidden="1">'Capital Budgeting'!$K$19</definedName>
    <definedName name="solver_lin" localSheetId="1" hidden="1">2</definedName>
    <definedName name="solver_lin" localSheetId="2" hidden="1">2</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2</definedName>
    <definedName name="solver_neg" localSheetId="2" hidden="1">1</definedName>
    <definedName name="solver_nod" localSheetId="1" hidden="1">2147483647</definedName>
    <definedName name="solver_num" localSheetId="1" hidden="1">1</definedName>
    <definedName name="solver_num" localSheetId="2" hidden="1">0</definedName>
    <definedName name="solver_opt" localSheetId="1" hidden="1">'Capital Budgeting'!$K$19</definedName>
    <definedName name="solver_pre" localSheetId="1" hidden="1">0.000001</definedName>
    <definedName name="solver_rbv" localSheetId="1" hidden="1">1</definedName>
    <definedName name="solver_rel1" localSheetId="1" hidden="1">3</definedName>
    <definedName name="solver_rel2" localSheetId="1" hidden="1">2</definedName>
    <definedName name="solver_rel3" localSheetId="1" hidden="1">3</definedName>
    <definedName name="solver_rhs1" localSheetId="1" hidden="1">0</definedName>
    <definedName name="solver_rhs2" localSheetId="1" hidden="1">0</definedName>
    <definedName name="solver_rhs3" localSheetId="1" hidden="1">0</definedName>
    <definedName name="solver_rlx" localSheetId="1" hidden="1">1</definedName>
    <definedName name="solver_rsd" localSheetId="1" hidden="1">0</definedName>
    <definedName name="solver_scl" localSheetId="1" hidden="1">2</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3</definedName>
    <definedName name="solver_typ" localSheetId="2" hidden="1">1</definedName>
    <definedName name="solver_val" localSheetId="1" hidden="1">0</definedName>
    <definedName name="solver_val" localSheetId="2" hidden="1">0</definedName>
    <definedName name="solver_ver" localSheetId="1" hidden="1">2</definedName>
    <definedName name="solver_ver" localSheetId="2" hidden="1">2</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C7" i="4" l="1"/>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B7" i="4"/>
  <c r="B8" i="4"/>
  <c r="B9" i="4"/>
  <c r="B10" i="4"/>
  <c r="B11" i="4"/>
  <c r="B12" i="4"/>
  <c r="B13" i="4"/>
  <c r="B14" i="4"/>
  <c r="B15" i="4"/>
  <c r="B16" i="4"/>
  <c r="B17" i="4"/>
  <c r="B18" i="4"/>
  <c r="B19" i="4"/>
  <c r="B20"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6" i="4"/>
  <c r="C6" i="4"/>
  <c r="A8" i="4"/>
  <c r="A9" i="4" s="1"/>
  <c r="A10" i="4" s="1"/>
  <c r="A11" i="4" s="1"/>
  <c r="A12" i="4" s="1"/>
  <c r="A13" i="4" s="1"/>
  <c r="A14" i="4" s="1"/>
  <c r="A15" i="4" s="1"/>
  <c r="A16" i="4" s="1"/>
  <c r="A17" i="4" s="1"/>
  <c r="A18" i="4" s="1"/>
  <c r="A19" i="4" s="1"/>
  <c r="A20" i="4" s="1"/>
  <c r="A21" i="4" s="1"/>
  <c r="A22" i="4" s="1"/>
  <c r="A23" i="4" s="1"/>
  <c r="A24" i="4" s="1"/>
  <c r="A25" i="4" s="1"/>
  <c r="A26" i="4" s="1"/>
  <c r="A27" i="4" s="1"/>
  <c r="A28" i="4" s="1"/>
  <c r="A29" i="4" s="1"/>
  <c r="A30" i="4" s="1"/>
  <c r="A31" i="4" s="1"/>
  <c r="A32" i="4" s="1"/>
  <c r="A33" i="4" s="1"/>
  <c r="A34" i="4" s="1"/>
  <c r="A35" i="4" s="1"/>
  <c r="A36" i="4" s="1"/>
  <c r="A37" i="4" s="1"/>
  <c r="A38" i="4" s="1"/>
  <c r="A39" i="4" s="1"/>
  <c r="A40" i="4" s="1"/>
  <c r="A41" i="4" s="1"/>
  <c r="A42" i="4" s="1"/>
  <c r="A43" i="4" s="1"/>
  <c r="A44" i="4" s="1"/>
  <c r="A45" i="4" s="1"/>
  <c r="A46" i="4" s="1"/>
  <c r="A47" i="4" s="1"/>
  <c r="A48" i="4" s="1"/>
  <c r="A49" i="4" s="1"/>
  <c r="A50" i="4" s="1"/>
  <c r="A51" i="4" s="1"/>
  <c r="A52" i="4" s="1"/>
  <c r="A53" i="4" s="1"/>
  <c r="A54" i="4" s="1"/>
  <c r="A55" i="4" s="1"/>
  <c r="A56" i="4" s="1"/>
  <c r="F13" i="5" l="1"/>
  <c r="E13" i="5"/>
  <c r="I5" i="5" l="1"/>
  <c r="B22" i="5" s="1"/>
  <c r="D21" i="5" l="1"/>
  <c r="C21" i="5"/>
  <c r="B23" i="5"/>
  <c r="J12" i="5"/>
  <c r="C22" i="5" s="1"/>
  <c r="K12" i="5"/>
  <c r="D22" i="5" l="1"/>
  <c r="C23" i="5"/>
  <c r="D23" i="5"/>
  <c r="B24" i="5"/>
  <c r="K19" i="5"/>
  <c r="C24" i="5" l="1"/>
  <c r="D24" i="5"/>
  <c r="B25" i="5"/>
  <c r="K17" i="5"/>
  <c r="J17" i="5"/>
  <c r="K16" i="5"/>
  <c r="J16" i="5"/>
  <c r="K14" i="5"/>
  <c r="J14" i="5"/>
  <c r="E12" i="5" l="1"/>
  <c r="F12" i="5"/>
  <c r="C25" i="5"/>
  <c r="D25" i="5"/>
  <c r="B26" i="5"/>
  <c r="E6" i="5"/>
  <c r="F6" i="5"/>
  <c r="E29" i="1"/>
  <c r="F29" i="1"/>
  <c r="C6" i="1" s="1"/>
  <c r="C26" i="5" l="1"/>
  <c r="D26" i="5"/>
  <c r="B27" i="5"/>
  <c r="K15" i="5"/>
  <c r="J15" i="5"/>
  <c r="E11" i="5" l="1"/>
  <c r="F11" i="5"/>
  <c r="C27" i="5"/>
  <c r="D27" i="5"/>
  <c r="B28" i="5"/>
  <c r="C28" i="5" l="1"/>
  <c r="D28" i="5"/>
  <c r="B29" i="5"/>
  <c r="C29" i="5" l="1"/>
  <c r="D29" i="5"/>
  <c r="B30" i="5"/>
  <c r="C30" i="5" l="1"/>
  <c r="D30" i="5"/>
  <c r="B31" i="5"/>
  <c r="C31" i="5" l="1"/>
  <c r="D31" i="5"/>
  <c r="B32" i="5"/>
  <c r="C32" i="5" l="1"/>
  <c r="D32" i="5"/>
  <c r="B33" i="5"/>
  <c r="C33" i="5" l="1"/>
  <c r="D33" i="5"/>
  <c r="B34" i="5"/>
  <c r="C34" i="5" l="1"/>
  <c r="D34" i="5"/>
  <c r="B35" i="5"/>
  <c r="C35" i="5" l="1"/>
  <c r="D35" i="5"/>
  <c r="B36" i="5"/>
  <c r="C36" i="5" l="1"/>
  <c r="J13" i="5" s="1"/>
  <c r="D36" i="5"/>
  <c r="K13" i="5" l="1"/>
  <c r="E5" i="5"/>
  <c r="F5" i="5"/>
  <c r="E7" i="5"/>
  <c r="J18" i="5" l="1"/>
  <c r="F7" i="5"/>
</calcChain>
</file>

<file path=xl/sharedStrings.xml><?xml version="1.0" encoding="utf-8"?>
<sst xmlns="http://schemas.openxmlformats.org/spreadsheetml/2006/main" count="76" uniqueCount="65">
  <si>
    <t>Total</t>
  </si>
  <si>
    <t>2 point reduction for each of the following: 1) if file is named incorrectly, 2) the cells have been moved or work (other than a comment) is shown outside of the specified cells in the model, 3) base case numbers not used</t>
  </si>
  <si>
    <t>Explanations</t>
  </si>
  <si>
    <t xml:space="preserve">NPV Profile Table </t>
  </si>
  <si>
    <t>Visual Basic (macros, buttons, user-defined functions)</t>
  </si>
  <si>
    <t>Correct equations/functions used</t>
  </si>
  <si>
    <t>Comments</t>
  </si>
  <si>
    <t>Your Points</t>
  </si>
  <si>
    <t>Total Points</t>
  </si>
  <si>
    <t>Rubric</t>
  </si>
  <si>
    <t>MIRR</t>
  </si>
  <si>
    <t>NPV</t>
  </si>
  <si>
    <t>should contain a user-defined function</t>
  </si>
  <si>
    <t>light orange shading indicates a cell that</t>
  </si>
  <si>
    <t>used as a computation or temporary formula area</t>
  </si>
  <si>
    <t>light green shading indicates hidden contents</t>
  </si>
  <si>
    <t>to determine value</t>
  </si>
  <si>
    <t>rose shading indicates Solver should be used</t>
  </si>
  <si>
    <t>contain user input data</t>
  </si>
  <si>
    <t>light gray shading indicates cells which should</t>
  </si>
  <si>
    <t>(perhaps with user written components)</t>
  </si>
  <si>
    <t>should contain Excel functions</t>
  </si>
  <si>
    <t>pale blue shading indicates cells that</t>
  </si>
  <si>
    <t>light yellow shading indicates cells that</t>
  </si>
  <si>
    <r>
      <t>Note</t>
    </r>
    <r>
      <rPr>
        <b/>
        <sz val="12"/>
        <color indexed="10"/>
        <rFont val="Arial"/>
        <family val="2"/>
      </rPr>
      <t>: Not all of these cell codes will be applicable to all projects</t>
    </r>
  </si>
  <si>
    <t>Worksheet Key</t>
  </si>
  <si>
    <t>Rubric Shown Below</t>
  </si>
  <si>
    <t>Comments:</t>
  </si>
  <si>
    <t>Grade:</t>
  </si>
  <si>
    <t>Name:</t>
  </si>
  <si>
    <t>Project #2 - Capital Budgeting</t>
  </si>
  <si>
    <t xml:space="preserve">Crossover rate = </t>
  </si>
  <si>
    <t>Discounted Payback period =</t>
  </si>
  <si>
    <t>Payback period =</t>
  </si>
  <si>
    <t>Modified IRR (MIRR) =</t>
  </si>
  <si>
    <t>Internal rate of return (IRR) =</t>
  </si>
  <si>
    <t>Net present value (NPV) =</t>
  </si>
  <si>
    <t>Project S</t>
  </si>
  <si>
    <t>Project L</t>
  </si>
  <si>
    <t>Period</t>
  </si>
  <si>
    <t>Discount rate =</t>
  </si>
  <si>
    <t>Net Present Value</t>
  </si>
  <si>
    <t>Discount Rate</t>
  </si>
  <si>
    <t>Cash Flows</t>
  </si>
  <si>
    <t>PV of Cash Flows from Project S</t>
  </si>
  <si>
    <t>PV of Cash Flows from Project L</t>
  </si>
  <si>
    <t>Discounted Payback Period</t>
  </si>
  <si>
    <t>Decision Rules for Independent Projects</t>
  </si>
  <si>
    <t>Decision Rules for Mutually Exclusive Projects</t>
  </si>
  <si>
    <r>
      <t>NPV difference (NPV</t>
    </r>
    <r>
      <rPr>
        <b/>
        <vertAlign val="subscript"/>
        <sz val="10"/>
        <color theme="1"/>
        <rFont val="Arial"/>
        <family val="2"/>
      </rPr>
      <t>L</t>
    </r>
    <r>
      <rPr>
        <b/>
        <sz val="10"/>
        <color theme="1"/>
        <rFont val="Arial"/>
        <family val="2"/>
      </rPr>
      <t xml:space="preserve"> - NPV</t>
    </r>
    <r>
      <rPr>
        <b/>
        <vertAlign val="subscript"/>
        <sz val="10"/>
        <color theme="1"/>
        <rFont val="Arial"/>
        <family val="2"/>
      </rPr>
      <t>S</t>
    </r>
    <r>
      <rPr>
        <b/>
        <sz val="10"/>
        <color theme="1"/>
        <rFont val="Arial"/>
        <family val="2"/>
      </rPr>
      <t>) =</t>
    </r>
  </si>
  <si>
    <t>Required Payback Period</t>
  </si>
  <si>
    <t>If Statement Decision Rules</t>
  </si>
  <si>
    <t>Formatting &amp; all cells are linked</t>
  </si>
  <si>
    <t>should hold user written formulas or functions</t>
  </si>
  <si>
    <t>base case</t>
  </si>
  <si>
    <t>e</t>
  </si>
  <si>
    <t xml:space="preserve"> </t>
  </si>
  <si>
    <t>Key Financial Statistics</t>
  </si>
  <si>
    <t>Adjust the discount rate by increments of .5%</t>
  </si>
  <si>
    <t># of years</t>
  </si>
  <si>
    <t>total # of periods</t>
  </si>
  <si>
    <t>periods per year</t>
  </si>
  <si>
    <t>The crossover rate of 7.25% is equivalent to the discount rate at which two projects will have the same NPV. This means that if the future cash flows are able to be discounted at this rate, the NPVs will be similar and based on NPV, both projects are equally desirable</t>
  </si>
  <si>
    <t>Assuming independent projects, MIRR and NPV concluded that Project L should be accepted. However, the DPBP of 7.65 years did not suggest this as it was longer than the required PBP. All three decision rules suggested that Project S should be accepted for independent projects with a DPBP shorter than the required PBP, a MIRR higher than the hurdle rate(discount rate used as hurdle), and an NPV greater than 0. If the projects were mutually exclusive, the DPBP, MIRR, and NPV all suggest that Project S will be the better option. This is because the DBPB is less than Project L's as well as less than the required PBP; the MIRR of Project S is higher than both the hurdle rate(assumed to be discount rate) and Project L's MIRR; the NPV of Project S is $3,723 higher than that of Project L as well as above 0.</t>
  </si>
  <si>
    <r>
      <t>Or enter in your own cash flows into cells</t>
    </r>
    <r>
      <rPr>
        <b/>
        <sz val="11"/>
        <color rgb="FFFF0000"/>
        <rFont val="Arial"/>
        <family val="2"/>
      </rPr>
      <t xml:space="preserve"> E21:F36</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</si>
</sst>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43" formatCode="_(* #,##0.00_);_(* \(#,##0.00\);_(* &quot;-&quot;??_);_(@_)"/>
    <numFmt numFmtId="164" formatCode="_(* #,##0_);_(* \(#,##0\);_(* &quot;-&quot;??_);_(@_)"/>
    <numFmt numFmtId="165" formatCode="_(* #,##0.000_);_(* \(#,##0.000\);_(* &quot;-&quot;??_);_(@_)"/>
    <numFmt numFmtId="166" formatCode="_(* #,##0.0000_);_(* \(#,##0.0000\);_(* &quot;-&quot;??_);_(@_)"/>
    <numFmt numFmtId="167" formatCode="&quot;$&quot;#,##0.00"/>
    <numFmt numFmtId="168" formatCode="0.0%"/>
  </numFmts>
  <fonts count="29">
    <font>
      <sz val="8"/>
      <name val="Arial"/>
      <family val="2"/>
    </font>
    <font>
      <sz val="11"/>
      <color theme="1"/>
      <name val="Calibri"/>
      <family val="2"/>
      <scheme val="minor"/>
    </font>
    <font>
      <sz val="11"/>
      <color rgb="FFFF0000"/>
      <name val="Calibri"/>
      <family val="2"/>
      <scheme val="minor"/>
    </font>
    <font>
      <b/>
      <sz val="12"/>
      <name val="Arial"/>
      <family val="2"/>
    </font>
    <font>
      <sz val="11"/>
      <name val="Arial"/>
      <family val="2"/>
    </font>
    <font>
      <sz val="12"/>
      <name val="Arial"/>
      <family val="2"/>
    </font>
    <font>
      <b/>
      <u/>
      <sz val="12"/>
      <color indexed="10"/>
      <name val="Arial"/>
      <family val="2"/>
    </font>
    <font>
      <b/>
      <sz val="12"/>
      <color indexed="10"/>
      <name val="Arial"/>
      <family val="2"/>
    </font>
    <font>
      <sz val="12"/>
      <color indexed="10"/>
      <name val="Arial"/>
      <family val="2"/>
    </font>
    <font>
      <b/>
      <sz val="10"/>
      <color theme="1"/>
      <name val="Arial"/>
      <family val="2"/>
    </font>
    <font>
      <sz val="8"/>
      <name val="Arial"/>
      <family val="2"/>
    </font>
    <font>
      <sz val="8"/>
      <color theme="1"/>
      <name val="Arial"/>
      <family val="2"/>
    </font>
    <font>
      <b/>
      <vertAlign val="subscript"/>
      <sz val="10"/>
      <color theme="1"/>
      <name val="Arial"/>
      <family val="2"/>
    </font>
    <font>
      <sz val="10"/>
      <color theme="1"/>
      <name val="Arial"/>
      <family val="2"/>
    </font>
    <font>
      <sz val="10"/>
      <name val="Arial"/>
      <family val="2"/>
    </font>
    <font>
      <sz val="12"/>
      <color theme="1"/>
      <name val="Arial"/>
      <family val="2"/>
    </font>
    <font>
      <b/>
      <sz val="10"/>
      <color theme="0"/>
      <name val="Arial"/>
      <family val="2"/>
    </font>
    <font>
      <sz val="8"/>
      <color theme="0"/>
      <name val="Arial"/>
      <family val="2"/>
    </font>
    <font>
      <sz val="12"/>
      <color rgb="FF000000"/>
      <name val="Calibri"/>
      <family val="2"/>
    </font>
    <font>
      <b/>
      <sz val="11"/>
      <color theme="1"/>
      <name val="Arial"/>
      <family val="2"/>
    </font>
    <font>
      <b/>
      <sz val="11"/>
      <color rgb="FFFF0000"/>
      <name val="Arial"/>
      <family val="2"/>
    </font>
    <font>
      <sz val="10"/>
      <color theme="6"/>
      <name val="Arial"/>
      <family val="2"/>
    </font>
    <font>
      <sz val="11"/>
      <color theme="0"/>
      <name val="Arial"/>
      <family val="2"/>
    </font>
    <font>
      <b/>
      <sz val="11"/>
      <color theme="0"/>
      <name val="Arial"/>
      <family val="2"/>
    </font>
    <font>
      <b/>
      <sz val="10"/>
      <color theme="5"/>
      <name val="Arial"/>
      <family val="2"/>
    </font>
    <font>
      <b/>
      <sz val="10"/>
      <color rgb="FFFFFC00"/>
      <name val="Arial"/>
      <family val="2"/>
    </font>
    <font>
      <b/>
      <sz val="10"/>
      <color rgb="FFFFC000"/>
      <name val="Arial"/>
      <family val="2"/>
    </font>
    <font>
      <sz val="11"/>
      <color theme="0"/>
      <name val="Verdana"/>
      <family val="2"/>
    </font>
    <font>
      <sz val="12"/>
      <name val="Calibri"/>
      <family val="2"/>
    </font>
  </fonts>
  <fills count="17">
    <fill>
      <patternFill patternType="none"/>
    </fill>
    <fill>
      <patternFill patternType="gray125"/>
    </fill>
    <fill>
      <patternFill patternType="solid">
        <fgColor indexed="52"/>
        <bgColor indexed="64"/>
      </patternFill>
    </fill>
    <fill>
      <patternFill patternType="solid">
        <fgColor indexed="42"/>
        <bgColor indexed="64"/>
      </patternFill>
    </fill>
    <fill>
      <patternFill patternType="solid">
        <fgColor indexed="45"/>
        <bgColor indexed="64"/>
      </patternFill>
    </fill>
    <fill>
      <patternFill patternType="solid">
        <fgColor indexed="22"/>
        <bgColor indexed="64"/>
      </patternFill>
    </fill>
    <fill>
      <patternFill patternType="solid">
        <fgColor indexed="44"/>
        <bgColor indexed="64"/>
      </patternFill>
    </fill>
    <fill>
      <patternFill patternType="solid">
        <fgColor indexed="43"/>
        <bgColor indexed="64"/>
      </patternFill>
    </fill>
    <fill>
      <patternFill patternType="solid">
        <fgColor theme="0"/>
        <bgColor indexed="64"/>
      </patternFill>
    </fill>
    <fill>
      <patternFill patternType="solid">
        <fgColor theme="3" tint="0.499984740745262"/>
        <bgColor indexed="64"/>
      </patternFill>
    </fill>
    <fill>
      <patternFill patternType="solid">
        <fgColor theme="6"/>
        <bgColor indexed="64"/>
      </patternFill>
    </fill>
    <fill>
      <patternFill patternType="solid">
        <fgColor theme="1"/>
        <bgColor indexed="64"/>
      </patternFill>
    </fill>
    <fill>
      <patternFill patternType="solid">
        <fgColor theme="7" tint="-0.249977111117893"/>
        <bgColor indexed="64"/>
      </patternFill>
    </fill>
    <fill>
      <patternFill patternType="solid">
        <fgColor theme="4" tint="0.39997558519241921"/>
        <bgColor indexed="64"/>
      </patternFill>
    </fill>
    <fill>
      <patternFill patternType="solid">
        <fgColor theme="1" tint="0.34998626667073579"/>
        <bgColor indexed="64"/>
      </patternFill>
    </fill>
    <fill>
      <patternFill patternType="solid">
        <fgColor theme="1" tint="0.499984740745262"/>
        <bgColor indexed="64"/>
      </patternFill>
    </fill>
    <fill>
      <patternFill patternType="solid">
        <fgColor theme="1" tint="0.249977111117893"/>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theme="1"/>
      </left>
      <right style="medium">
        <color theme="1"/>
      </right>
      <top style="medium">
        <color theme="1"/>
      </top>
      <bottom style="medium">
        <color theme="1"/>
      </bottom>
      <diagonal/>
    </border>
    <border>
      <left style="medium">
        <color theme="1"/>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medium">
        <color theme="1"/>
      </left>
      <right/>
      <top/>
      <bottom style="medium">
        <color theme="1"/>
      </bottom>
      <diagonal/>
    </border>
  </borders>
  <cellStyleXfs count="4">
    <xf numFmtId="0" fontId="0" fillId="0" borderId="0"/>
    <xf numFmtId="43" fontId="1" fillId="0" borderId="0" applyFont="0" applyFill="0" applyBorder="0" applyAlignment="0" applyProtection="0"/>
    <xf numFmtId="43" fontId="10" fillId="0" borderId="0" applyFont="0" applyFill="0" applyBorder="0" applyAlignment="0" applyProtection="0"/>
    <xf numFmtId="9" fontId="10" fillId="0" borderId="0" applyFont="0" applyFill="0" applyBorder="0" applyAlignment="0" applyProtection="0"/>
  </cellStyleXfs>
  <cellXfs count="98">
    <xf numFmtId="0" fontId="0" fillId="0" borderId="0" xfId="0"/>
    <xf numFmtId="0" fontId="3" fillId="0" borderId="0" xfId="0" applyFont="1"/>
    <xf numFmtId="0" fontId="2" fillId="0" borderId="1" xfId="0" applyFont="1" applyBorder="1"/>
    <xf numFmtId="0" fontId="4" fillId="0" borderId="1" xfId="0" applyFont="1" applyBorder="1"/>
    <xf numFmtId="0" fontId="4" fillId="0" borderId="1" xfId="0" applyFont="1" applyBorder="1" applyAlignment="1">
      <alignment wrapText="1"/>
    </xf>
    <xf numFmtId="0" fontId="2" fillId="0" borderId="1" xfId="0" applyFont="1" applyBorder="1" applyAlignment="1">
      <alignment wrapText="1"/>
    </xf>
    <xf numFmtId="0" fontId="4" fillId="0" borderId="1" xfId="0" applyFont="1" applyBorder="1" applyAlignment="1">
      <alignment horizontal="center"/>
    </xf>
    <xf numFmtId="0" fontId="5" fillId="0" borderId="0" xfId="0" applyFont="1"/>
    <xf numFmtId="0" fontId="5" fillId="0" borderId="0" xfId="0" applyFont="1" applyFill="1" applyBorder="1"/>
    <xf numFmtId="0" fontId="5" fillId="2" borderId="1" xfId="0" applyFont="1" applyFill="1" applyBorder="1"/>
    <xf numFmtId="0" fontId="5" fillId="3" borderId="1" xfId="0" applyFont="1" applyFill="1" applyBorder="1"/>
    <xf numFmtId="0" fontId="5" fillId="4" borderId="1" xfId="0" applyFont="1" applyFill="1" applyBorder="1"/>
    <xf numFmtId="0" fontId="5" fillId="5" borderId="1" xfId="0" applyFont="1" applyFill="1" applyBorder="1"/>
    <xf numFmtId="0" fontId="5" fillId="6" borderId="1" xfId="0" applyFont="1" applyFill="1" applyBorder="1"/>
    <xf numFmtId="0" fontId="5" fillId="0" borderId="0" xfId="0" applyFont="1" applyAlignment="1"/>
    <xf numFmtId="0" fontId="5" fillId="7" borderId="1" xfId="0" applyFont="1" applyFill="1" applyBorder="1"/>
    <xf numFmtId="0" fontId="5" fillId="0" borderId="0" xfId="0" applyFont="1" applyBorder="1" applyAlignment="1">
      <alignment horizontal="centerContinuous"/>
    </xf>
    <xf numFmtId="0" fontId="3" fillId="0" borderId="0" xfId="0" applyFont="1" applyBorder="1" applyAlignment="1">
      <alignment horizontal="centerContinuous"/>
    </xf>
    <xf numFmtId="0" fontId="5" fillId="0" borderId="2" xfId="0" applyFont="1" applyBorder="1" applyAlignment="1">
      <alignment horizontal="centerContinuous"/>
    </xf>
    <xf numFmtId="0" fontId="5" fillId="0" borderId="3" xfId="0" applyFont="1" applyBorder="1" applyAlignment="1">
      <alignment horizontal="centerContinuous"/>
    </xf>
    <xf numFmtId="0" fontId="3" fillId="0" borderId="4" xfId="0" applyFont="1" applyBorder="1" applyAlignment="1">
      <alignment horizontal="centerContinuous"/>
    </xf>
    <xf numFmtId="0" fontId="5" fillId="0" borderId="0" xfId="0" applyFont="1" applyBorder="1"/>
    <xf numFmtId="0" fontId="7" fillId="0" borderId="1" xfId="0" applyFont="1" applyBorder="1" applyAlignment="1">
      <alignment horizontal="left"/>
    </xf>
    <xf numFmtId="0" fontId="8" fillId="0" borderId="0" xfId="0" applyFont="1"/>
    <xf numFmtId="0" fontId="7" fillId="5" borderId="1" xfId="0" applyFont="1" applyFill="1" applyBorder="1"/>
    <xf numFmtId="0" fontId="0" fillId="8" borderId="0" xfId="0" applyFill="1"/>
    <xf numFmtId="164" fontId="11" fillId="8" borderId="0" xfId="2" applyNumberFormat="1" applyFont="1" applyFill="1"/>
    <xf numFmtId="164" fontId="9" fillId="5" borderId="6" xfId="2" applyNumberFormat="1" applyFont="1" applyFill="1" applyBorder="1"/>
    <xf numFmtId="164" fontId="0" fillId="8" borderId="0" xfId="2" applyNumberFormat="1" applyFont="1" applyFill="1"/>
    <xf numFmtId="0" fontId="6" fillId="0" borderId="0" xfId="0" applyFont="1" applyBorder="1" applyAlignment="1">
      <alignment horizontal="center"/>
    </xf>
    <xf numFmtId="164" fontId="13" fillId="8" borderId="0" xfId="2" applyNumberFormat="1" applyFont="1" applyFill="1"/>
    <xf numFmtId="164" fontId="16" fillId="8" borderId="0" xfId="2" applyNumberFormat="1" applyFont="1" applyFill="1" applyBorder="1"/>
    <xf numFmtId="164" fontId="17" fillId="8" borderId="0" xfId="2" applyNumberFormat="1" applyFont="1" applyFill="1"/>
    <xf numFmtId="164" fontId="11" fillId="0" borderId="0" xfId="2" applyNumberFormat="1" applyFont="1" applyFill="1" applyBorder="1"/>
    <xf numFmtId="165" fontId="21" fillId="10" borderId="12" xfId="2" applyNumberFormat="1" applyFont="1" applyFill="1" applyBorder="1"/>
    <xf numFmtId="166" fontId="13" fillId="0" borderId="0" xfId="2" applyNumberFormat="1" applyFont="1" applyFill="1" applyBorder="1"/>
    <xf numFmtId="43" fontId="13" fillId="10" borderId="16" xfId="2" applyNumberFormat="1" applyFont="1" applyFill="1" applyBorder="1"/>
    <xf numFmtId="168" fontId="13" fillId="10" borderId="16" xfId="3" applyNumberFormat="1" applyFont="1" applyFill="1" applyBorder="1"/>
    <xf numFmtId="43" fontId="13" fillId="10" borderId="16" xfId="2" applyNumberFormat="1" applyFont="1" applyFill="1" applyBorder="1" applyAlignment="1">
      <alignment horizontal="center"/>
    </xf>
    <xf numFmtId="164" fontId="11" fillId="9" borderId="16" xfId="2" applyNumberFormat="1" applyFont="1" applyFill="1" applyBorder="1"/>
    <xf numFmtId="164" fontId="9" fillId="9" borderId="16" xfId="2" applyNumberFormat="1" applyFont="1" applyFill="1" applyBorder="1" applyAlignment="1">
      <alignment horizontal="right"/>
    </xf>
    <xf numFmtId="164" fontId="15" fillId="9" borderId="16" xfId="2" applyNumberFormat="1" applyFont="1" applyFill="1" applyBorder="1"/>
    <xf numFmtId="167" fontId="9" fillId="12" borderId="7" xfId="2" applyNumberFormat="1" applyFont="1" applyFill="1" applyBorder="1"/>
    <xf numFmtId="167" fontId="14" fillId="13" borderId="14" xfId="0" applyNumberFormat="1" applyFont="1" applyFill="1" applyBorder="1" applyAlignment="1">
      <alignment vertical="center"/>
    </xf>
    <xf numFmtId="167" fontId="14" fillId="13" borderId="15" xfId="0" applyNumberFormat="1" applyFont="1" applyFill="1" applyBorder="1" applyAlignment="1">
      <alignment vertical="center"/>
    </xf>
    <xf numFmtId="167" fontId="14" fillId="13" borderId="12" xfId="0" applyNumberFormat="1" applyFont="1" applyFill="1" applyBorder="1" applyAlignment="1">
      <alignment vertical="center"/>
    </xf>
    <xf numFmtId="164" fontId="9" fillId="10" borderId="0" xfId="2" applyNumberFormat="1" applyFont="1" applyFill="1" applyBorder="1" applyAlignment="1">
      <alignment horizontal="center" wrapText="1"/>
    </xf>
    <xf numFmtId="164" fontId="9" fillId="10" borderId="1" xfId="2" applyNumberFormat="1" applyFont="1" applyFill="1" applyBorder="1" applyAlignment="1">
      <alignment horizontal="center" wrapText="1"/>
    </xf>
    <xf numFmtId="164" fontId="9" fillId="15" borderId="1" xfId="2" applyNumberFormat="1" applyFont="1" applyFill="1" applyBorder="1" applyAlignment="1">
      <alignment horizontal="center"/>
    </xf>
    <xf numFmtId="164" fontId="25" fillId="14" borderId="1" xfId="2" applyNumberFormat="1" applyFont="1" applyFill="1" applyBorder="1" applyAlignment="1">
      <alignment horizontal="center" vertical="center"/>
    </xf>
    <xf numFmtId="164" fontId="26" fillId="14" borderId="1" xfId="2" applyNumberFormat="1" applyFont="1" applyFill="1" applyBorder="1" applyAlignment="1">
      <alignment horizontal="center" vertical="center"/>
    </xf>
    <xf numFmtId="164" fontId="24" fillId="6" borderId="16" xfId="2" applyNumberFormat="1" applyFont="1" applyFill="1" applyBorder="1" applyAlignment="1">
      <alignment horizontal="center"/>
    </xf>
    <xf numFmtId="165" fontId="0" fillId="8" borderId="0" xfId="2" applyNumberFormat="1" applyFont="1" applyFill="1"/>
    <xf numFmtId="164" fontId="0" fillId="8" borderId="0" xfId="0" applyNumberFormat="1" applyFill="1"/>
    <xf numFmtId="10" fontId="13" fillId="10" borderId="16" xfId="3" applyNumberFormat="1" applyFont="1" applyFill="1" applyBorder="1"/>
    <xf numFmtId="167" fontId="13" fillId="10" borderId="16" xfId="2" applyNumberFormat="1" applyFont="1" applyFill="1" applyBorder="1"/>
    <xf numFmtId="6" fontId="27" fillId="8" borderId="0" xfId="0" applyNumberFormat="1" applyFont="1" applyFill="1" applyBorder="1" applyAlignment="1">
      <alignment horizontal="left" vertical="center" indent="6"/>
    </xf>
    <xf numFmtId="0" fontId="17" fillId="8" borderId="0" xfId="0" applyFont="1" applyFill="1" applyBorder="1"/>
    <xf numFmtId="0" fontId="27" fillId="8" borderId="0" xfId="0" applyFont="1" applyFill="1" applyBorder="1" applyAlignment="1">
      <alignment horizontal="left" vertical="center" indent="6"/>
    </xf>
    <xf numFmtId="10" fontId="9" fillId="10" borderId="16" xfId="3" applyNumberFormat="1" applyFont="1" applyFill="1" applyBorder="1"/>
    <xf numFmtId="164" fontId="22" fillId="16" borderId="20" xfId="2" applyNumberFormat="1" applyFont="1" applyFill="1" applyBorder="1" applyAlignment="1">
      <alignment horizontal="left" vertical="center"/>
    </xf>
    <xf numFmtId="164" fontId="9" fillId="15" borderId="16" xfId="2" applyNumberFormat="1" applyFont="1" applyFill="1" applyBorder="1" applyAlignment="1">
      <alignment horizontal="center"/>
    </xf>
    <xf numFmtId="1" fontId="14" fillId="13" borderId="13" xfId="0" applyNumberFormat="1" applyFont="1" applyFill="1" applyBorder="1" applyAlignment="1">
      <alignment vertical="center"/>
    </xf>
    <xf numFmtId="1" fontId="14" fillId="13" borderId="12" xfId="0" applyNumberFormat="1" applyFont="1" applyFill="1" applyBorder="1" applyAlignment="1">
      <alignment vertical="center"/>
    </xf>
    <xf numFmtId="164" fontId="26" fillId="15" borderId="1" xfId="2" applyNumberFormat="1" applyFont="1" applyFill="1" applyBorder="1" applyAlignment="1">
      <alignment horizontal="center" vertical="center"/>
    </xf>
    <xf numFmtId="168" fontId="13" fillId="8" borderId="0" xfId="3" applyNumberFormat="1" applyFont="1" applyFill="1" applyBorder="1"/>
    <xf numFmtId="167" fontId="14" fillId="13" borderId="16" xfId="0" applyNumberFormat="1" applyFont="1" applyFill="1" applyBorder="1" applyAlignment="1">
      <alignment vertical="center"/>
    </xf>
    <xf numFmtId="168" fontId="13" fillId="10" borderId="21" xfId="3" applyNumberFormat="1" applyFont="1" applyFill="1" applyBorder="1"/>
    <xf numFmtId="168" fontId="13" fillId="10" borderId="18" xfId="3" applyNumberFormat="1" applyFont="1" applyFill="1" applyBorder="1"/>
    <xf numFmtId="0" fontId="7" fillId="0" borderId="7" xfId="0" applyFont="1" applyBorder="1" applyAlignment="1">
      <alignment vertical="top" wrapText="1"/>
    </xf>
    <xf numFmtId="0" fontId="7" fillId="0" borderId="6" xfId="0" applyFont="1" applyBorder="1" applyAlignment="1">
      <alignment vertical="top" wrapText="1"/>
    </xf>
    <xf numFmtId="0" fontId="7" fillId="0" borderId="5" xfId="0" applyFont="1" applyBorder="1" applyAlignment="1">
      <alignment vertical="top" wrapText="1"/>
    </xf>
    <xf numFmtId="0" fontId="6" fillId="0" borderId="4" xfId="0" applyFont="1" applyBorder="1" applyAlignment="1">
      <alignment horizontal="center"/>
    </xf>
    <xf numFmtId="0" fontId="6" fillId="0" borderId="3" xfId="0" applyFont="1" applyBorder="1" applyAlignment="1">
      <alignment horizontal="center"/>
    </xf>
    <xf numFmtId="0" fontId="6" fillId="0" borderId="2" xfId="0" applyFont="1" applyBorder="1" applyAlignment="1">
      <alignment horizontal="center"/>
    </xf>
    <xf numFmtId="0" fontId="3" fillId="0" borderId="4" xfId="0" applyFont="1" applyBorder="1" applyAlignment="1">
      <alignment horizontal="center"/>
    </xf>
    <xf numFmtId="0" fontId="3" fillId="0" borderId="3" xfId="0" applyFont="1" applyBorder="1" applyAlignment="1">
      <alignment horizontal="center"/>
    </xf>
    <xf numFmtId="0" fontId="3" fillId="0" borderId="2" xfId="0" applyFont="1" applyBorder="1" applyAlignment="1">
      <alignment horizontal="center"/>
    </xf>
    <xf numFmtId="164" fontId="9" fillId="9" borderId="18" xfId="2" applyNumberFormat="1" applyFont="1" applyFill="1" applyBorder="1" applyAlignment="1">
      <alignment horizontal="center"/>
    </xf>
    <xf numFmtId="164" fontId="9" fillId="9" borderId="19" xfId="2" applyNumberFormat="1" applyFont="1" applyFill="1" applyBorder="1" applyAlignment="1">
      <alignment horizontal="center"/>
    </xf>
    <xf numFmtId="164" fontId="9" fillId="9" borderId="20" xfId="2" applyNumberFormat="1" applyFont="1" applyFill="1" applyBorder="1" applyAlignment="1">
      <alignment horizontal="center"/>
    </xf>
    <xf numFmtId="164" fontId="11" fillId="8" borderId="10" xfId="2" applyNumberFormat="1" applyFont="1" applyFill="1" applyBorder="1" applyAlignment="1">
      <alignment horizontal="center"/>
    </xf>
    <xf numFmtId="164" fontId="11" fillId="8" borderId="11" xfId="2" applyNumberFormat="1" applyFont="1" applyFill="1" applyBorder="1" applyAlignment="1">
      <alignment horizontal="center"/>
    </xf>
    <xf numFmtId="164" fontId="11" fillId="8" borderId="9" xfId="2" applyNumberFormat="1" applyFont="1" applyFill="1" applyBorder="1" applyAlignment="1">
      <alignment horizontal="center"/>
    </xf>
    <xf numFmtId="164" fontId="16" fillId="11" borderId="4" xfId="2" applyNumberFormat="1" applyFont="1" applyFill="1" applyBorder="1" applyAlignment="1">
      <alignment horizontal="center"/>
    </xf>
    <xf numFmtId="164" fontId="16" fillId="11" borderId="3" xfId="2" applyNumberFormat="1" applyFont="1" applyFill="1" applyBorder="1" applyAlignment="1">
      <alignment horizontal="center"/>
    </xf>
    <xf numFmtId="164" fontId="16" fillId="11" borderId="2" xfId="2" applyNumberFormat="1" applyFont="1" applyFill="1" applyBorder="1" applyAlignment="1">
      <alignment horizontal="center"/>
    </xf>
    <xf numFmtId="164" fontId="23" fillId="11" borderId="0" xfId="2" applyNumberFormat="1" applyFont="1" applyFill="1" applyBorder="1" applyAlignment="1">
      <alignment horizontal="center" vertical="center"/>
    </xf>
    <xf numFmtId="164" fontId="23" fillId="11" borderId="8" xfId="2" applyNumberFormat="1" applyFont="1" applyFill="1" applyBorder="1" applyAlignment="1">
      <alignment horizontal="center" vertical="center"/>
    </xf>
    <xf numFmtId="164" fontId="19" fillId="8" borderId="0" xfId="2" applyNumberFormat="1" applyFont="1" applyFill="1" applyAlignment="1">
      <alignment horizontal="center" vertical="center" wrapText="1"/>
    </xf>
    <xf numFmtId="164" fontId="22" fillId="11" borderId="16" xfId="2" applyNumberFormat="1" applyFont="1" applyFill="1" applyBorder="1" applyAlignment="1">
      <alignment horizontal="center" vertical="center"/>
    </xf>
    <xf numFmtId="164" fontId="25" fillId="14" borderId="16" xfId="2" applyNumberFormat="1" applyFont="1" applyFill="1" applyBorder="1" applyAlignment="1">
      <alignment horizontal="center" vertical="center"/>
    </xf>
    <xf numFmtId="164" fontId="26" fillId="14" borderId="16" xfId="2" applyNumberFormat="1" applyFont="1" applyFill="1" applyBorder="1" applyAlignment="1">
      <alignment horizontal="center" vertical="center"/>
    </xf>
    <xf numFmtId="164" fontId="9" fillId="5" borderId="18" xfId="2" applyNumberFormat="1" applyFont="1" applyFill="1" applyBorder="1" applyAlignment="1">
      <alignment horizontal="center" wrapText="1"/>
    </xf>
    <xf numFmtId="0" fontId="4" fillId="8" borderId="16" xfId="0" applyFont="1" applyFill="1" applyBorder="1" applyAlignment="1">
      <alignment horizontal="center" vertical="center" wrapText="1"/>
    </xf>
    <xf numFmtId="0" fontId="14" fillId="8" borderId="16" xfId="0" applyFont="1" applyFill="1" applyBorder="1" applyAlignment="1">
      <alignment horizontal="center" vertical="top" wrapText="1"/>
    </xf>
    <xf numFmtId="164" fontId="9" fillId="8" borderId="0" xfId="2" applyNumberFormat="1" applyFont="1" applyFill="1" applyBorder="1" applyAlignment="1">
      <alignment horizontal="center" wrapText="1"/>
    </xf>
    <xf numFmtId="164" fontId="16" fillId="11" borderId="17" xfId="2" applyNumberFormat="1" applyFont="1" applyFill="1" applyBorder="1" applyAlignment="1">
      <alignment horizontal="center"/>
    </xf>
  </cellXfs>
  <cellStyles count="4">
    <cellStyle name="Comma" xfId="2" builtinId="3"/>
    <cellStyle name="Comma 2" xfId="1" xr:uid="{EB1FAFB9-A6DE-4CD0-BA39-37E981CEB25B}"/>
    <cellStyle name="Normal" xfId="0" builtinId="0"/>
    <cellStyle name="Percent" xfId="3" builtinId="5"/>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797979"/>
      <color rgb="FFFFFC00"/>
      <color rgb="FFFF2600"/>
      <color rgb="FFF54695"/>
      <color rgb="FFEC26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NPV</a:t>
            </a:r>
            <a:r>
              <a:rPr lang="en-US" baseline="0"/>
              <a:t> at different disount rates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'NPV Profile &amp; Questions'!$B$4</c:f>
              <c:strCache>
                <c:ptCount val="1"/>
                <c:pt idx="0">
                  <c:v> Project L </c:v>
                </c:pt>
              </c:strCache>
            </c:strRef>
          </c:tx>
          <c:spPr>
            <a:ln w="19050" cap="rnd">
              <a:solidFill>
                <a:schemeClr val="accent1"/>
              </a:solidFill>
              <a:round/>
            </a:ln>
            <a:effectLst/>
          </c:spPr>
          <c:marker>
            <c:symbol val="circle"/>
            <c:size val="5"/>
            <c:spPr>
              <a:noFill/>
              <a:ln w="9525">
                <a:noFill/>
              </a:ln>
              <a:effectLst/>
            </c:spPr>
          </c:marker>
          <c:xVal>
            <c:numRef>
              <c:f>'NPV Profile &amp; Questions'!$A$5:$A$56</c:f>
              <c:numCache>
                <c:formatCode>0.0%</c:formatCode>
                <c:ptCount val="52"/>
                <c:pt idx="1">
                  <c:v>0</c:v>
                </c:pt>
                <c:pt idx="2">
                  <c:v>5.0000000000000001E-3</c:v>
                </c:pt>
                <c:pt idx="3">
                  <c:v>0.01</c:v>
                </c:pt>
                <c:pt idx="4">
                  <c:v>1.4999999999999999E-2</c:v>
                </c:pt>
                <c:pt idx="5">
                  <c:v>0.02</c:v>
                </c:pt>
                <c:pt idx="6">
                  <c:v>2.5000000000000001E-2</c:v>
                </c:pt>
                <c:pt idx="7">
                  <c:v>3.0000000000000002E-2</c:v>
                </c:pt>
                <c:pt idx="8">
                  <c:v>3.5000000000000003E-2</c:v>
                </c:pt>
                <c:pt idx="9">
                  <c:v>0.04</c:v>
                </c:pt>
                <c:pt idx="10">
                  <c:v>4.4999999999999998E-2</c:v>
                </c:pt>
                <c:pt idx="11">
                  <c:v>4.9999999999999996E-2</c:v>
                </c:pt>
                <c:pt idx="12">
                  <c:v>5.4999999999999993E-2</c:v>
                </c:pt>
                <c:pt idx="13">
                  <c:v>5.9999999999999991E-2</c:v>
                </c:pt>
                <c:pt idx="14">
                  <c:v>6.4999999999999988E-2</c:v>
                </c:pt>
                <c:pt idx="15">
                  <c:v>6.9999999999999993E-2</c:v>
                </c:pt>
                <c:pt idx="16">
                  <c:v>7.4999999999999997E-2</c:v>
                </c:pt>
                <c:pt idx="17">
                  <c:v>0.08</c:v>
                </c:pt>
                <c:pt idx="18">
                  <c:v>8.5000000000000006E-2</c:v>
                </c:pt>
                <c:pt idx="19">
                  <c:v>9.0000000000000011E-2</c:v>
                </c:pt>
                <c:pt idx="20">
                  <c:v>9.5000000000000015E-2</c:v>
                </c:pt>
                <c:pt idx="21">
                  <c:v>0.10000000000000002</c:v>
                </c:pt>
                <c:pt idx="22">
                  <c:v>0.10500000000000002</c:v>
                </c:pt>
                <c:pt idx="23">
                  <c:v>0.11000000000000003</c:v>
                </c:pt>
                <c:pt idx="24">
                  <c:v>0.11500000000000003</c:v>
                </c:pt>
                <c:pt idx="25">
                  <c:v>0.12000000000000004</c:v>
                </c:pt>
                <c:pt idx="26">
                  <c:v>0.12500000000000003</c:v>
                </c:pt>
                <c:pt idx="27">
                  <c:v>0.13000000000000003</c:v>
                </c:pt>
                <c:pt idx="28">
                  <c:v>0.13500000000000004</c:v>
                </c:pt>
                <c:pt idx="29">
                  <c:v>0.14000000000000004</c:v>
                </c:pt>
                <c:pt idx="30">
                  <c:v>0.14500000000000005</c:v>
                </c:pt>
                <c:pt idx="31">
                  <c:v>0.15000000000000005</c:v>
                </c:pt>
                <c:pt idx="32">
                  <c:v>0.15500000000000005</c:v>
                </c:pt>
                <c:pt idx="33">
                  <c:v>0.16000000000000006</c:v>
                </c:pt>
                <c:pt idx="34">
                  <c:v>0.16500000000000006</c:v>
                </c:pt>
                <c:pt idx="35">
                  <c:v>0.17000000000000007</c:v>
                </c:pt>
                <c:pt idx="36">
                  <c:v>0.17500000000000007</c:v>
                </c:pt>
                <c:pt idx="37">
                  <c:v>0.18000000000000008</c:v>
                </c:pt>
                <c:pt idx="38">
                  <c:v>0.18500000000000008</c:v>
                </c:pt>
                <c:pt idx="39">
                  <c:v>0.19000000000000009</c:v>
                </c:pt>
                <c:pt idx="40">
                  <c:v>0.19500000000000009</c:v>
                </c:pt>
                <c:pt idx="41">
                  <c:v>0.20000000000000009</c:v>
                </c:pt>
                <c:pt idx="42">
                  <c:v>0.2050000000000001</c:v>
                </c:pt>
                <c:pt idx="43">
                  <c:v>0.2100000000000001</c:v>
                </c:pt>
                <c:pt idx="44">
                  <c:v>0.21500000000000011</c:v>
                </c:pt>
                <c:pt idx="45">
                  <c:v>0.22000000000000011</c:v>
                </c:pt>
                <c:pt idx="46">
                  <c:v>0.22500000000000012</c:v>
                </c:pt>
                <c:pt idx="47">
                  <c:v>0.23000000000000012</c:v>
                </c:pt>
                <c:pt idx="48">
                  <c:v>0.23500000000000013</c:v>
                </c:pt>
                <c:pt idx="49">
                  <c:v>0.24000000000000013</c:v>
                </c:pt>
                <c:pt idx="50">
                  <c:v>0.24500000000000013</c:v>
                </c:pt>
                <c:pt idx="51">
                  <c:v>0.25000000000000011</c:v>
                </c:pt>
              </c:numCache>
            </c:numRef>
          </c:xVal>
          <c:yVal>
            <c:numRef>
              <c:f>'NPV Profile &amp; Questions'!$B$5:$B$56</c:f>
              <c:numCache>
                <c:formatCode>"$"#,##0.00</c:formatCode>
                <c:ptCount val="52"/>
                <c:pt idx="1">
                  <c:v>200000</c:v>
                </c:pt>
                <c:pt idx="2">
                  <c:v>187868.53373538138</c:v>
                </c:pt>
                <c:pt idx="3">
                  <c:v>176208.70388157526</c:v>
                </c:pt>
                <c:pt idx="4">
                  <c:v>164998.30483344977</c:v>
                </c:pt>
                <c:pt idx="5">
                  <c:v>154216.32528090058</c:v>
                </c:pt>
                <c:pt idx="6">
                  <c:v>143842.87689369218</c:v>
                </c:pt>
                <c:pt idx="7">
                  <c:v>133859.1276549123</c:v>
                </c:pt>
                <c:pt idx="8">
                  <c:v>124247.23951600812</c:v>
                </c:pt>
                <c:pt idx="9">
                  <c:v>114990.31007097621</c:v>
                </c:pt>
                <c:pt idx="10">
                  <c:v>106072.3179699576</c:v>
                </c:pt>
                <c:pt idx="11">
                  <c:v>97478.071813316492</c:v>
                </c:pt>
                <c:pt idx="12">
                  <c:v>89193.162286503648</c:v>
                </c:pt>
                <c:pt idx="13">
                  <c:v>81203.917313661252</c:v>
                </c:pt>
                <c:pt idx="14">
                  <c:v>73497.36002424953</c:v>
                </c:pt>
                <c:pt idx="15">
                  <c:v>66061.169341967034</c:v>
                </c:pt>
                <c:pt idx="16">
                  <c:v>58883.643019121548</c:v>
                </c:pt>
                <c:pt idx="17">
                  <c:v>51953.662952364888</c:v>
                </c:pt>
                <c:pt idx="18">
                  <c:v>45260.662627526035</c:v>
                </c:pt>
                <c:pt idx="19">
                  <c:v>38794.59655215533</c:v>
                </c:pt>
                <c:pt idx="20">
                  <c:v>32545.911544473609</c:v>
                </c:pt>
                <c:pt idx="21">
                  <c:v>26505.519756710622</c:v>
                </c:pt>
                <c:pt idx="22">
                  <c:v>20664.773319425818</c:v>
                </c:pt>
                <c:pt idx="23">
                  <c:v>15015.440501354169</c:v>
                </c:pt>
                <c:pt idx="24">
                  <c:v>9549.6832866851764</c:v>
                </c:pt>
                <c:pt idx="25">
                  <c:v>4260.0362784888421</c:v>
                </c:pt>
                <c:pt idx="26">
                  <c:v>-860.61315667795134</c:v>
                </c:pt>
                <c:pt idx="27">
                  <c:v>-5819.0435821203573</c:v>
                </c:pt>
                <c:pt idx="28">
                  <c:v>-10621.717096016568</c:v>
                </c:pt>
                <c:pt idx="29">
                  <c:v>-15274.79591678892</c:v>
                </c:pt>
                <c:pt idx="30">
                  <c:v>-19784.158012866334</c:v>
                </c:pt>
                <c:pt idx="31">
                  <c:v>-24155.411836559797</c:v>
                </c:pt>
                <c:pt idx="32">
                  <c:v>-28393.910217755329</c:v>
                </c:pt>
                <c:pt idx="33">
                  <c:v>-32504.763469413854</c:v>
                </c:pt>
                <c:pt idx="34">
                  <c:v>-36492.851753404248</c:v>
                </c:pt>
                <c:pt idx="35">
                  <c:v>-40362.836751992494</c:v>
                </c:pt>
                <c:pt idx="36">
                  <c:v>-44119.172687315004</c:v>
                </c:pt>
                <c:pt idx="37">
                  <c:v>-47766.116728401539</c:v>
                </c:pt>
                <c:pt idx="38">
                  <c:v>-51307.738822718733</c:v>
                </c:pt>
                <c:pt idx="39">
                  <c:v>-54747.930986817257</c:v>
                </c:pt>
                <c:pt idx="40">
                  <c:v>-58090.41608841953</c:v>
                </c:pt>
                <c:pt idx="41">
                  <c:v>-61338.756150215369</c:v>
                </c:pt>
                <c:pt idx="42">
                  <c:v>-64496.360203682678</c:v>
                </c:pt>
                <c:pt idx="43">
                  <c:v>-67566.491719459445</c:v>
                </c:pt>
                <c:pt idx="44">
                  <c:v>-70552.275639098021</c:v>
                </c:pt>
                <c:pt idx="45">
                  <c:v>-73456.705031473626</c:v>
                </c:pt>
                <c:pt idx="46">
                  <c:v>-76282.64739565074</c:v>
                </c:pt>
                <c:pt idx="47">
                  <c:v>-79032.85063065149</c:v>
                </c:pt>
                <c:pt idx="48">
                  <c:v>-81709.948691291444</c:v>
                </c:pt>
                <c:pt idx="49">
                  <c:v>-84316.466948066809</c:v>
                </c:pt>
                <c:pt idx="50">
                  <c:v>-86854.827267959801</c:v>
                </c:pt>
                <c:pt idx="51">
                  <c:v>-89327.352831999975</c:v>
                </c:pt>
              </c:numCache>
            </c:numRef>
          </c:yVal>
          <c:smooth val="1"/>
          <c:extLst>
            <c:ext xmlns:c16="http://schemas.microsoft.com/office/drawing/2014/chart" uri="{C3380CC4-5D6E-409C-BE32-E72D297353CC}">
              <c16:uniqueId val="{00000000-DACE-1046-85E4-464CFE68F8B9}"/>
            </c:ext>
          </c:extLst>
        </c:ser>
        <c:ser>
          <c:idx val="1"/>
          <c:order val="1"/>
          <c:tx>
            <c:strRef>
              <c:f>'NPV Profile &amp; Questions'!$C$4</c:f>
              <c:strCache>
                <c:ptCount val="1"/>
                <c:pt idx="0">
                  <c:v> Project S </c:v>
                </c:pt>
              </c:strCache>
            </c:strRef>
          </c:tx>
          <c:spPr>
            <a:ln w="19050" cap="rnd">
              <a:solidFill>
                <a:schemeClr val="accent2"/>
              </a:solidFill>
              <a:round/>
            </a:ln>
            <a:effectLst/>
          </c:spPr>
          <c:marker>
            <c:symbol val="circle"/>
            <c:size val="5"/>
            <c:spPr>
              <a:noFill/>
              <a:ln w="9525">
                <a:noFill/>
              </a:ln>
              <a:effectLst/>
            </c:spPr>
          </c:marker>
          <c:xVal>
            <c:numRef>
              <c:f>'NPV Profile &amp; Questions'!$A$5:$A$56</c:f>
              <c:numCache>
                <c:formatCode>0.0%</c:formatCode>
                <c:ptCount val="52"/>
                <c:pt idx="1">
                  <c:v>0</c:v>
                </c:pt>
                <c:pt idx="2">
                  <c:v>5.0000000000000001E-3</c:v>
                </c:pt>
                <c:pt idx="3">
                  <c:v>0.01</c:v>
                </c:pt>
                <c:pt idx="4">
                  <c:v>1.4999999999999999E-2</c:v>
                </c:pt>
                <c:pt idx="5">
                  <c:v>0.02</c:v>
                </c:pt>
                <c:pt idx="6">
                  <c:v>2.5000000000000001E-2</c:v>
                </c:pt>
                <c:pt idx="7">
                  <c:v>3.0000000000000002E-2</c:v>
                </c:pt>
                <c:pt idx="8">
                  <c:v>3.5000000000000003E-2</c:v>
                </c:pt>
                <c:pt idx="9">
                  <c:v>0.04</c:v>
                </c:pt>
                <c:pt idx="10">
                  <c:v>4.4999999999999998E-2</c:v>
                </c:pt>
                <c:pt idx="11">
                  <c:v>4.9999999999999996E-2</c:v>
                </c:pt>
                <c:pt idx="12">
                  <c:v>5.4999999999999993E-2</c:v>
                </c:pt>
                <c:pt idx="13">
                  <c:v>5.9999999999999991E-2</c:v>
                </c:pt>
                <c:pt idx="14">
                  <c:v>6.4999999999999988E-2</c:v>
                </c:pt>
                <c:pt idx="15">
                  <c:v>6.9999999999999993E-2</c:v>
                </c:pt>
                <c:pt idx="16">
                  <c:v>7.4999999999999997E-2</c:v>
                </c:pt>
                <c:pt idx="17">
                  <c:v>0.08</c:v>
                </c:pt>
                <c:pt idx="18">
                  <c:v>8.5000000000000006E-2</c:v>
                </c:pt>
                <c:pt idx="19">
                  <c:v>9.0000000000000011E-2</c:v>
                </c:pt>
                <c:pt idx="20">
                  <c:v>9.5000000000000015E-2</c:v>
                </c:pt>
                <c:pt idx="21">
                  <c:v>0.10000000000000002</c:v>
                </c:pt>
                <c:pt idx="22">
                  <c:v>0.10500000000000002</c:v>
                </c:pt>
                <c:pt idx="23">
                  <c:v>0.11000000000000003</c:v>
                </c:pt>
                <c:pt idx="24">
                  <c:v>0.11500000000000003</c:v>
                </c:pt>
                <c:pt idx="25">
                  <c:v>0.12000000000000004</c:v>
                </c:pt>
                <c:pt idx="26">
                  <c:v>0.12500000000000003</c:v>
                </c:pt>
                <c:pt idx="27">
                  <c:v>0.13000000000000003</c:v>
                </c:pt>
                <c:pt idx="28">
                  <c:v>0.13500000000000004</c:v>
                </c:pt>
                <c:pt idx="29">
                  <c:v>0.14000000000000004</c:v>
                </c:pt>
                <c:pt idx="30">
                  <c:v>0.14500000000000005</c:v>
                </c:pt>
                <c:pt idx="31">
                  <c:v>0.15000000000000005</c:v>
                </c:pt>
                <c:pt idx="32">
                  <c:v>0.15500000000000005</c:v>
                </c:pt>
                <c:pt idx="33">
                  <c:v>0.16000000000000006</c:v>
                </c:pt>
                <c:pt idx="34">
                  <c:v>0.16500000000000006</c:v>
                </c:pt>
                <c:pt idx="35">
                  <c:v>0.17000000000000007</c:v>
                </c:pt>
                <c:pt idx="36">
                  <c:v>0.17500000000000007</c:v>
                </c:pt>
                <c:pt idx="37">
                  <c:v>0.18000000000000008</c:v>
                </c:pt>
                <c:pt idx="38">
                  <c:v>0.18500000000000008</c:v>
                </c:pt>
                <c:pt idx="39">
                  <c:v>0.19000000000000009</c:v>
                </c:pt>
                <c:pt idx="40">
                  <c:v>0.19500000000000009</c:v>
                </c:pt>
                <c:pt idx="41">
                  <c:v>0.20000000000000009</c:v>
                </c:pt>
                <c:pt idx="42">
                  <c:v>0.2050000000000001</c:v>
                </c:pt>
                <c:pt idx="43">
                  <c:v>0.2100000000000001</c:v>
                </c:pt>
                <c:pt idx="44">
                  <c:v>0.21500000000000011</c:v>
                </c:pt>
                <c:pt idx="45">
                  <c:v>0.22000000000000011</c:v>
                </c:pt>
                <c:pt idx="46">
                  <c:v>0.22500000000000012</c:v>
                </c:pt>
                <c:pt idx="47">
                  <c:v>0.23000000000000012</c:v>
                </c:pt>
                <c:pt idx="48">
                  <c:v>0.23500000000000013</c:v>
                </c:pt>
                <c:pt idx="49">
                  <c:v>0.24000000000000013</c:v>
                </c:pt>
                <c:pt idx="50">
                  <c:v>0.24500000000000013</c:v>
                </c:pt>
                <c:pt idx="51">
                  <c:v>0.25000000000000011</c:v>
                </c:pt>
              </c:numCache>
            </c:numRef>
          </c:xVal>
          <c:yVal>
            <c:numRef>
              <c:f>'NPV Profile &amp; Questions'!$C$5:$C$56</c:f>
              <c:numCache>
                <c:formatCode>"$"#,##0.00</c:formatCode>
                <c:ptCount val="52"/>
                <c:pt idx="1">
                  <c:v>145000</c:v>
                </c:pt>
                <c:pt idx="2">
                  <c:v>138083.64681282797</c:v>
                </c:pt>
                <c:pt idx="3">
                  <c:v>131378.81582716084</c:v>
                </c:pt>
                <c:pt idx="4">
                  <c:v>124877.15748872363</c:v>
                </c:pt>
                <c:pt idx="5">
                  <c:v>118570.71461397689</c:v>
                </c:pt>
                <c:pt idx="6">
                  <c:v>112451.90132920997</c:v>
                </c:pt>
                <c:pt idx="7">
                  <c:v>106513.48326892272</c:v>
                </c:pt>
                <c:pt idx="8">
                  <c:v>100748.5589510182</c:v>
                </c:pt>
                <c:pt idx="9">
                  <c:v>95150.542252157407</c:v>
                </c:pt>
                <c:pt idx="10">
                  <c:v>89713.145912049862</c:v>
                </c:pt>
                <c:pt idx="11">
                  <c:v>84430.366000433511</c:v>
                </c:pt>
                <c:pt idx="12">
                  <c:v>79296.467285130871</c:v>
                </c:pt>
                <c:pt idx="13">
                  <c:v>74305.969443827576</c:v>
                </c:pt>
                <c:pt idx="14">
                  <c:v>69453.634066189697</c:v>
                </c:pt>
                <c:pt idx="15">
                  <c:v>64734.452396583511</c:v>
                </c:pt>
                <c:pt idx="16">
                  <c:v>60143.633771068009</c:v>
                </c:pt>
                <c:pt idx="17">
                  <c:v>55676.594705462339</c:v>
                </c:pt>
                <c:pt idx="18">
                  <c:v>51328.948594214104</c:v>
                </c:pt>
                <c:pt idx="19">
                  <c:v>47096.495982491178</c:v>
                </c:pt>
                <c:pt idx="20">
                  <c:v>42975.21537643444</c:v>
                </c:pt>
                <c:pt idx="21">
                  <c:v>38961.254558829154</c:v>
                </c:pt>
                <c:pt idx="22">
                  <c:v>35050.922379623778</c:v>
                </c:pt>
                <c:pt idx="23">
                  <c:v>31240.680992725567</c:v>
                </c:pt>
                <c:pt idx="24">
                  <c:v>27527.138512376114</c:v>
                </c:pt>
                <c:pt idx="25">
                  <c:v>23907.042064136826</c:v>
                </c:pt>
                <c:pt idx="26">
                  <c:v>20377.271207139303</c:v>
                </c:pt>
                <c:pt idx="27">
                  <c:v>16934.831705746532</c:v>
                </c:pt>
                <c:pt idx="28">
                  <c:v>13576.849630176526</c:v>
                </c:pt>
                <c:pt idx="29">
                  <c:v>10300.565766937245</c:v>
                </c:pt>
                <c:pt idx="30">
                  <c:v>7103.3303211370367</c:v>
                </c:pt>
                <c:pt idx="31">
                  <c:v>3982.5978938592598</c:v>
                </c:pt>
                <c:pt idx="32">
                  <c:v>935.92271885275841</c:v>
                </c:pt>
                <c:pt idx="33">
                  <c:v>-2039.0458562416025</c:v>
                </c:pt>
                <c:pt idx="34">
                  <c:v>-4944.567657978303</c:v>
                </c:pt>
                <c:pt idx="35">
                  <c:v>-7782.8157575153164</c:v>
                </c:pt>
                <c:pt idx="36">
                  <c:v>-10555.880335541908</c:v>
                </c:pt>
                <c:pt idx="37">
                  <c:v>-13265.772353189415</c:v>
                </c:pt>
                <c:pt idx="38">
                  <c:v>-15914.427039681963</c:v>
                </c:pt>
                <c:pt idx="39">
                  <c:v>-18503.707206844061</c:v>
                </c:pt>
                <c:pt idx="40">
                  <c:v>-21035.406399963889</c:v>
                </c:pt>
                <c:pt idx="41">
                  <c:v>-23511.25189395147</c:v>
                </c:pt>
                <c:pt idx="42">
                  <c:v>-25932.907543190406</c:v>
                </c:pt>
                <c:pt idx="43">
                  <c:v>-28301.97649299234</c:v>
                </c:pt>
                <c:pt idx="44">
                  <c:v>-30620.003760089923</c:v>
                </c:pt>
                <c:pt idx="45">
                  <c:v>-32888.478689174255</c:v>
                </c:pt>
                <c:pt idx="46">
                  <c:v>-35108.837292067357</c:v>
                </c:pt>
                <c:pt idx="47">
                  <c:v>-37282.464475745073</c:v>
                </c:pt>
                <c:pt idx="48">
                  <c:v>-39410.696165058529</c:v>
                </c:pt>
                <c:pt idx="49">
                  <c:v>-41494.82132567378</c:v>
                </c:pt>
                <c:pt idx="50">
                  <c:v>-43536.083892426774</c:v>
                </c:pt>
                <c:pt idx="51">
                  <c:v>-45535.68460800001</c:v>
                </c:pt>
              </c:numCache>
            </c:numRef>
          </c:yVal>
          <c:smooth val="1"/>
          <c:extLst>
            <c:ext xmlns:c16="http://schemas.microsoft.com/office/drawing/2014/chart" uri="{C3380CC4-5D6E-409C-BE32-E72D297353CC}">
              <c16:uniqueId val="{00000001-DACE-1046-85E4-464CFE68F8B9}"/>
            </c:ext>
          </c:extLst>
        </c:ser>
        <c:dLbls>
          <c:showLegendKey val="0"/>
          <c:showVal val="0"/>
          <c:showCatName val="0"/>
          <c:showSerName val="0"/>
          <c:showPercent val="0"/>
          <c:showBubbleSize val="0"/>
        </c:dLbls>
        <c:axId val="1545650096"/>
        <c:axId val="1956291648"/>
      </c:scatterChart>
      <c:valAx>
        <c:axId val="1545650096"/>
        <c:scaling>
          <c:orientation val="minMax"/>
          <c:max val="0.30000000000000004"/>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Discount Rate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6291648"/>
        <c:crossesAt val="0"/>
        <c:crossBetween val="midCat"/>
        <c:majorUnit val="3.0000000000000006E-2"/>
      </c:valAx>
      <c:valAx>
        <c:axId val="19562916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NPV</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56500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15" fmlaLink="$L$12" inc="5" max="250" page="10" val="8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2897A2D1-909A-C64D-895E-AA4110D96FED}" type="doc">
      <dgm:prSet loTypeId="urn:microsoft.com/office/officeart/2005/8/layout/list1" loCatId="" qsTypeId="urn:microsoft.com/office/officeart/2005/8/quickstyle/simple1" qsCatId="simple" csTypeId="urn:microsoft.com/office/officeart/2005/8/colors/accent1_2" csCatId="accent1" phldr="1"/>
      <dgm:spPr/>
      <dgm:t>
        <a:bodyPr/>
        <a:lstStyle/>
        <a:p>
          <a:endParaRPr lang="en-US"/>
        </a:p>
      </dgm:t>
    </dgm:pt>
    <dgm:pt modelId="{2AB0BF19-3611-1941-9BB1-8F426A71A75F}">
      <dgm:prSet phldrT="[Text]"/>
      <dgm:spPr>
        <a:solidFill>
          <a:schemeClr val="accent4">
            <a:lumMod val="75000"/>
          </a:schemeClr>
        </a:solidFill>
      </dgm:spPr>
      <dgm:t>
        <a:bodyPr/>
        <a:lstStyle/>
        <a:p>
          <a:r>
            <a:rPr lang="en-US"/>
            <a:t>Step 1.) </a:t>
          </a:r>
        </a:p>
      </dgm:t>
    </dgm:pt>
    <dgm:pt modelId="{CB518678-B91E-0241-ABC4-5C724B472160}" type="parTrans" cxnId="{4FE22090-3675-E142-8854-40F8BA046C31}">
      <dgm:prSet/>
      <dgm:spPr/>
      <dgm:t>
        <a:bodyPr/>
        <a:lstStyle/>
        <a:p>
          <a:endParaRPr lang="en-US"/>
        </a:p>
      </dgm:t>
    </dgm:pt>
    <dgm:pt modelId="{69DE77BB-D1B8-E846-837A-B10D99E4F9A0}" type="sibTrans" cxnId="{4FE22090-3675-E142-8854-40F8BA046C31}">
      <dgm:prSet/>
      <dgm:spPr/>
      <dgm:t>
        <a:bodyPr/>
        <a:lstStyle/>
        <a:p>
          <a:endParaRPr lang="en-US"/>
        </a:p>
      </dgm:t>
    </dgm:pt>
    <dgm:pt modelId="{FF2DC915-833B-3A4E-A0FF-15B1D285C1D1}">
      <dgm:prSet phldrT="[Text]"/>
      <dgm:spPr>
        <a:solidFill>
          <a:schemeClr val="accent4">
            <a:lumMod val="75000"/>
          </a:schemeClr>
        </a:solidFill>
      </dgm:spPr>
      <dgm:t>
        <a:bodyPr/>
        <a:lstStyle/>
        <a:p>
          <a:r>
            <a:rPr lang="en-US"/>
            <a:t>Step 2.)</a:t>
          </a:r>
        </a:p>
      </dgm:t>
    </dgm:pt>
    <dgm:pt modelId="{AB630F09-552E-BE4C-9F4E-59DD900664E4}" type="parTrans" cxnId="{F0BD6932-3957-6047-B30F-C99F1D0B6EF5}">
      <dgm:prSet/>
      <dgm:spPr/>
      <dgm:t>
        <a:bodyPr/>
        <a:lstStyle/>
        <a:p>
          <a:endParaRPr lang="en-US"/>
        </a:p>
      </dgm:t>
    </dgm:pt>
    <dgm:pt modelId="{3C3CB634-5992-484F-B9C8-963BADCEF2F3}" type="sibTrans" cxnId="{F0BD6932-3957-6047-B30F-C99F1D0B6EF5}">
      <dgm:prSet/>
      <dgm:spPr/>
      <dgm:t>
        <a:bodyPr/>
        <a:lstStyle/>
        <a:p>
          <a:endParaRPr lang="en-US"/>
        </a:p>
      </dgm:t>
    </dgm:pt>
    <dgm:pt modelId="{B9B25FED-1012-7F4F-8E7D-74E164C3B554}">
      <dgm:prSet phldrT="[Text]"/>
      <dgm:spPr>
        <a:solidFill>
          <a:schemeClr val="accent4">
            <a:lumMod val="75000"/>
          </a:schemeClr>
        </a:solidFill>
      </dgm:spPr>
      <dgm:t>
        <a:bodyPr/>
        <a:lstStyle/>
        <a:p>
          <a:r>
            <a:rPr lang="en-US"/>
            <a:t>Step 3.)</a:t>
          </a:r>
        </a:p>
      </dgm:t>
    </dgm:pt>
    <dgm:pt modelId="{ED583A0F-92EA-2D4A-ACC1-4B653349F684}" type="parTrans" cxnId="{CCC0EF3D-DA24-8745-9234-B977FF185C0D}">
      <dgm:prSet/>
      <dgm:spPr/>
      <dgm:t>
        <a:bodyPr/>
        <a:lstStyle/>
        <a:p>
          <a:endParaRPr lang="en-US"/>
        </a:p>
      </dgm:t>
    </dgm:pt>
    <dgm:pt modelId="{8F9AA8AA-7972-3543-B0AC-88A86FC6F57B}" type="sibTrans" cxnId="{CCC0EF3D-DA24-8745-9234-B977FF185C0D}">
      <dgm:prSet/>
      <dgm:spPr/>
      <dgm:t>
        <a:bodyPr/>
        <a:lstStyle/>
        <a:p>
          <a:endParaRPr lang="en-US"/>
        </a:p>
      </dgm:t>
    </dgm:pt>
    <dgm:pt modelId="{D8565C12-6F7E-A94E-85A6-52A0F01E0500}">
      <dgm:prSet/>
      <dgm:spPr>
        <a:solidFill>
          <a:schemeClr val="accent4">
            <a:lumMod val="75000"/>
          </a:schemeClr>
        </a:solidFill>
      </dgm:spPr>
      <dgm:t>
        <a:bodyPr/>
        <a:lstStyle/>
        <a:p>
          <a:r>
            <a:rPr lang="en-US"/>
            <a:t>Step 4.)</a:t>
          </a:r>
        </a:p>
      </dgm:t>
    </dgm:pt>
    <dgm:pt modelId="{9F82050A-0021-2B44-A089-B5D3A3DDAC69}" type="parTrans" cxnId="{45E547C0-62B2-E844-9416-96459701B94F}">
      <dgm:prSet/>
      <dgm:spPr/>
      <dgm:t>
        <a:bodyPr/>
        <a:lstStyle/>
        <a:p>
          <a:endParaRPr lang="en-US"/>
        </a:p>
      </dgm:t>
    </dgm:pt>
    <dgm:pt modelId="{35ECC63C-5582-2E4D-A395-B5118389BEF4}" type="sibTrans" cxnId="{45E547C0-62B2-E844-9416-96459701B94F}">
      <dgm:prSet/>
      <dgm:spPr/>
      <dgm:t>
        <a:bodyPr/>
        <a:lstStyle/>
        <a:p>
          <a:endParaRPr lang="en-US"/>
        </a:p>
      </dgm:t>
    </dgm:pt>
    <dgm:pt modelId="{153AD166-0D5D-AD40-9577-9CBF12D81433}">
      <dgm:prSet/>
      <dgm:spPr>
        <a:solidFill>
          <a:schemeClr val="accent4">
            <a:lumMod val="75000"/>
          </a:schemeClr>
        </a:solidFill>
      </dgm:spPr>
      <dgm:t>
        <a:bodyPr/>
        <a:lstStyle/>
        <a:p>
          <a:r>
            <a:rPr lang="en-US"/>
            <a:t>Step 5.)</a:t>
          </a:r>
        </a:p>
      </dgm:t>
    </dgm:pt>
    <dgm:pt modelId="{EFB3B195-6E33-8749-AC11-5A44A6D94DE7}" type="sibTrans" cxnId="{C42E7453-F4C4-A140-8647-3FDF439D2764}">
      <dgm:prSet/>
      <dgm:spPr/>
      <dgm:t>
        <a:bodyPr/>
        <a:lstStyle/>
        <a:p>
          <a:endParaRPr lang="en-US"/>
        </a:p>
      </dgm:t>
    </dgm:pt>
    <dgm:pt modelId="{3282BB85-FFD1-B848-91CC-A6FAFF83FCAB}" type="parTrans" cxnId="{C42E7453-F4C4-A140-8647-3FDF439D2764}">
      <dgm:prSet/>
      <dgm:spPr/>
      <dgm:t>
        <a:bodyPr/>
        <a:lstStyle/>
        <a:p>
          <a:endParaRPr lang="en-US"/>
        </a:p>
      </dgm:t>
    </dgm:pt>
    <dgm:pt modelId="{2C243E86-DA3D-D946-A019-244F2C3026F9}" type="pres">
      <dgm:prSet presAssocID="{2897A2D1-909A-C64D-895E-AA4110D96FED}" presName="linear" presStyleCnt="0">
        <dgm:presLayoutVars>
          <dgm:dir/>
          <dgm:animLvl val="lvl"/>
          <dgm:resizeHandles val="exact"/>
        </dgm:presLayoutVars>
      </dgm:prSet>
      <dgm:spPr/>
    </dgm:pt>
    <dgm:pt modelId="{0791B0F1-446F-2849-AD96-9B5527DA75D1}" type="pres">
      <dgm:prSet presAssocID="{2AB0BF19-3611-1941-9BB1-8F426A71A75F}" presName="parentLin" presStyleCnt="0"/>
      <dgm:spPr/>
    </dgm:pt>
    <dgm:pt modelId="{F319852E-37EA-594E-A4E4-175ADB816639}" type="pres">
      <dgm:prSet presAssocID="{2AB0BF19-3611-1941-9BB1-8F426A71A75F}" presName="parentLeftMargin" presStyleLbl="node1" presStyleIdx="0" presStyleCnt="5"/>
      <dgm:spPr/>
    </dgm:pt>
    <dgm:pt modelId="{5410EEAE-F10F-DB4E-8C05-090DF2EE09A4}" type="pres">
      <dgm:prSet presAssocID="{2AB0BF19-3611-1941-9BB1-8F426A71A75F}" presName="parentText" presStyleLbl="node1" presStyleIdx="0" presStyleCnt="5">
        <dgm:presLayoutVars>
          <dgm:chMax val="0"/>
          <dgm:bulletEnabled val="1"/>
        </dgm:presLayoutVars>
      </dgm:prSet>
      <dgm:spPr/>
    </dgm:pt>
    <dgm:pt modelId="{DA969B1A-A857-084B-9AFA-C5C173DBF439}" type="pres">
      <dgm:prSet presAssocID="{2AB0BF19-3611-1941-9BB1-8F426A71A75F}" presName="negativeSpace" presStyleCnt="0"/>
      <dgm:spPr/>
    </dgm:pt>
    <dgm:pt modelId="{535A874A-FED8-134B-84AD-003CA03E4E54}" type="pres">
      <dgm:prSet presAssocID="{2AB0BF19-3611-1941-9BB1-8F426A71A75F}" presName="childText" presStyleLbl="conFgAcc1" presStyleIdx="0" presStyleCnt="5">
        <dgm:presLayoutVars>
          <dgm:bulletEnabled val="1"/>
        </dgm:presLayoutVars>
      </dgm:prSet>
      <dgm:spPr/>
    </dgm:pt>
    <dgm:pt modelId="{87203D35-B32E-4E46-85F2-7C36A577C22C}" type="pres">
      <dgm:prSet presAssocID="{69DE77BB-D1B8-E846-837A-B10D99E4F9A0}" presName="spaceBetweenRectangles" presStyleCnt="0"/>
      <dgm:spPr/>
    </dgm:pt>
    <dgm:pt modelId="{38905B71-3F4B-DB47-B836-8AC66C8382A8}" type="pres">
      <dgm:prSet presAssocID="{FF2DC915-833B-3A4E-A0FF-15B1D285C1D1}" presName="parentLin" presStyleCnt="0"/>
      <dgm:spPr/>
    </dgm:pt>
    <dgm:pt modelId="{CE576AF9-8BD1-6345-8C9F-6DB26040A40B}" type="pres">
      <dgm:prSet presAssocID="{FF2DC915-833B-3A4E-A0FF-15B1D285C1D1}" presName="parentLeftMargin" presStyleLbl="node1" presStyleIdx="0" presStyleCnt="5"/>
      <dgm:spPr/>
    </dgm:pt>
    <dgm:pt modelId="{D3835D5B-9557-C444-907C-E873F359B0FE}" type="pres">
      <dgm:prSet presAssocID="{FF2DC915-833B-3A4E-A0FF-15B1D285C1D1}" presName="parentText" presStyleLbl="node1" presStyleIdx="1" presStyleCnt="5">
        <dgm:presLayoutVars>
          <dgm:chMax val="0"/>
          <dgm:bulletEnabled val="1"/>
        </dgm:presLayoutVars>
      </dgm:prSet>
      <dgm:spPr/>
    </dgm:pt>
    <dgm:pt modelId="{44D57394-C563-3F4A-A7B1-55AE40CF68C4}" type="pres">
      <dgm:prSet presAssocID="{FF2DC915-833B-3A4E-A0FF-15B1D285C1D1}" presName="negativeSpace" presStyleCnt="0"/>
      <dgm:spPr/>
    </dgm:pt>
    <dgm:pt modelId="{EA5A93C3-A669-9C4A-8888-C8B5715849C0}" type="pres">
      <dgm:prSet presAssocID="{FF2DC915-833B-3A4E-A0FF-15B1D285C1D1}" presName="childText" presStyleLbl="conFgAcc1" presStyleIdx="1" presStyleCnt="5">
        <dgm:presLayoutVars>
          <dgm:bulletEnabled val="1"/>
        </dgm:presLayoutVars>
      </dgm:prSet>
      <dgm:spPr/>
    </dgm:pt>
    <dgm:pt modelId="{8450715B-A8DB-F94D-AFD7-A61D16CD931E}" type="pres">
      <dgm:prSet presAssocID="{3C3CB634-5992-484F-B9C8-963BADCEF2F3}" presName="spaceBetweenRectangles" presStyleCnt="0"/>
      <dgm:spPr/>
    </dgm:pt>
    <dgm:pt modelId="{EAFD7057-98EB-0B40-9185-EC78A797670E}" type="pres">
      <dgm:prSet presAssocID="{B9B25FED-1012-7F4F-8E7D-74E164C3B554}" presName="parentLin" presStyleCnt="0"/>
      <dgm:spPr/>
    </dgm:pt>
    <dgm:pt modelId="{91DD310C-98DB-1D45-AF93-6FF1BD214B12}" type="pres">
      <dgm:prSet presAssocID="{B9B25FED-1012-7F4F-8E7D-74E164C3B554}" presName="parentLeftMargin" presStyleLbl="node1" presStyleIdx="1" presStyleCnt="5"/>
      <dgm:spPr/>
    </dgm:pt>
    <dgm:pt modelId="{AB4A9F2F-2214-5D49-82D8-F50CB7B67F6A}" type="pres">
      <dgm:prSet presAssocID="{B9B25FED-1012-7F4F-8E7D-74E164C3B554}" presName="parentText" presStyleLbl="node1" presStyleIdx="2" presStyleCnt="5">
        <dgm:presLayoutVars>
          <dgm:chMax val="0"/>
          <dgm:bulletEnabled val="1"/>
        </dgm:presLayoutVars>
      </dgm:prSet>
      <dgm:spPr/>
    </dgm:pt>
    <dgm:pt modelId="{DD012891-6806-CE48-BC1F-845E807FCDC2}" type="pres">
      <dgm:prSet presAssocID="{B9B25FED-1012-7F4F-8E7D-74E164C3B554}" presName="negativeSpace" presStyleCnt="0"/>
      <dgm:spPr/>
    </dgm:pt>
    <dgm:pt modelId="{E8ABBF66-2190-834E-9EFD-5864E0AF8A2B}" type="pres">
      <dgm:prSet presAssocID="{B9B25FED-1012-7F4F-8E7D-74E164C3B554}" presName="childText" presStyleLbl="conFgAcc1" presStyleIdx="2" presStyleCnt="5">
        <dgm:presLayoutVars>
          <dgm:bulletEnabled val="1"/>
        </dgm:presLayoutVars>
      </dgm:prSet>
      <dgm:spPr/>
    </dgm:pt>
    <dgm:pt modelId="{A4AD307E-CC2D-6542-B300-92B32E01F0CC}" type="pres">
      <dgm:prSet presAssocID="{8F9AA8AA-7972-3543-B0AC-88A86FC6F57B}" presName="spaceBetweenRectangles" presStyleCnt="0"/>
      <dgm:spPr/>
    </dgm:pt>
    <dgm:pt modelId="{BFCCCBB6-7584-8440-B4DC-E94F905997AD}" type="pres">
      <dgm:prSet presAssocID="{D8565C12-6F7E-A94E-85A6-52A0F01E0500}" presName="parentLin" presStyleCnt="0"/>
      <dgm:spPr/>
    </dgm:pt>
    <dgm:pt modelId="{F7D740F4-36D7-F848-BD70-F58BFF3F91FC}" type="pres">
      <dgm:prSet presAssocID="{D8565C12-6F7E-A94E-85A6-52A0F01E0500}" presName="parentLeftMargin" presStyleLbl="node1" presStyleIdx="2" presStyleCnt="5"/>
      <dgm:spPr/>
    </dgm:pt>
    <dgm:pt modelId="{F3384857-8647-F24A-BF8B-1202AA584BA1}" type="pres">
      <dgm:prSet presAssocID="{D8565C12-6F7E-A94E-85A6-52A0F01E0500}" presName="parentText" presStyleLbl="node1" presStyleIdx="3" presStyleCnt="5">
        <dgm:presLayoutVars>
          <dgm:chMax val="0"/>
          <dgm:bulletEnabled val="1"/>
        </dgm:presLayoutVars>
      </dgm:prSet>
      <dgm:spPr/>
    </dgm:pt>
    <dgm:pt modelId="{CDEC61A0-0F3C-9448-A598-8235D3F51FF2}" type="pres">
      <dgm:prSet presAssocID="{D8565C12-6F7E-A94E-85A6-52A0F01E0500}" presName="negativeSpace" presStyleCnt="0"/>
      <dgm:spPr/>
    </dgm:pt>
    <dgm:pt modelId="{197239DB-7940-6D4A-AEB5-6510E59AA615}" type="pres">
      <dgm:prSet presAssocID="{D8565C12-6F7E-A94E-85A6-52A0F01E0500}" presName="childText" presStyleLbl="conFgAcc1" presStyleIdx="3" presStyleCnt="5">
        <dgm:presLayoutVars>
          <dgm:bulletEnabled val="1"/>
        </dgm:presLayoutVars>
      </dgm:prSet>
      <dgm:spPr/>
    </dgm:pt>
    <dgm:pt modelId="{6F275581-7A00-0743-955C-84DE029AA145}" type="pres">
      <dgm:prSet presAssocID="{35ECC63C-5582-2E4D-A395-B5118389BEF4}" presName="spaceBetweenRectangles" presStyleCnt="0"/>
      <dgm:spPr/>
    </dgm:pt>
    <dgm:pt modelId="{30F65E8D-7B1E-B14B-A885-A0126A9AD1BD}" type="pres">
      <dgm:prSet presAssocID="{153AD166-0D5D-AD40-9577-9CBF12D81433}" presName="parentLin" presStyleCnt="0"/>
      <dgm:spPr/>
    </dgm:pt>
    <dgm:pt modelId="{CCFA27EB-6661-9D41-87DF-FADE91851C22}" type="pres">
      <dgm:prSet presAssocID="{153AD166-0D5D-AD40-9577-9CBF12D81433}" presName="parentLeftMargin" presStyleLbl="node1" presStyleIdx="3" presStyleCnt="5"/>
      <dgm:spPr/>
    </dgm:pt>
    <dgm:pt modelId="{61794241-3132-4E44-819C-C6A3DAACBCCB}" type="pres">
      <dgm:prSet presAssocID="{153AD166-0D5D-AD40-9577-9CBF12D81433}" presName="parentText" presStyleLbl="node1" presStyleIdx="4" presStyleCnt="5">
        <dgm:presLayoutVars>
          <dgm:chMax val="0"/>
          <dgm:bulletEnabled val="1"/>
        </dgm:presLayoutVars>
      </dgm:prSet>
      <dgm:spPr/>
    </dgm:pt>
    <dgm:pt modelId="{DCD87DBB-8DE7-6448-A6F4-22E37C3B7A66}" type="pres">
      <dgm:prSet presAssocID="{153AD166-0D5D-AD40-9577-9CBF12D81433}" presName="negativeSpace" presStyleCnt="0"/>
      <dgm:spPr/>
    </dgm:pt>
    <dgm:pt modelId="{C39FE04D-BD23-3D4D-812E-D4569FE31374}" type="pres">
      <dgm:prSet presAssocID="{153AD166-0D5D-AD40-9577-9CBF12D81433}" presName="childText" presStyleLbl="conFgAcc1" presStyleIdx="4" presStyleCnt="5">
        <dgm:presLayoutVars>
          <dgm:bulletEnabled val="1"/>
        </dgm:presLayoutVars>
      </dgm:prSet>
      <dgm:spPr/>
    </dgm:pt>
  </dgm:ptLst>
  <dgm:cxnLst>
    <dgm:cxn modelId="{F0BD6932-3957-6047-B30F-C99F1D0B6EF5}" srcId="{2897A2D1-909A-C64D-895E-AA4110D96FED}" destId="{FF2DC915-833B-3A4E-A0FF-15B1D285C1D1}" srcOrd="1" destOrd="0" parTransId="{AB630F09-552E-BE4C-9F4E-59DD900664E4}" sibTransId="{3C3CB634-5992-484F-B9C8-963BADCEF2F3}"/>
    <dgm:cxn modelId="{55B49C37-B397-FE46-B9B4-21CE8528D4D6}" type="presOf" srcId="{D8565C12-6F7E-A94E-85A6-52A0F01E0500}" destId="{F3384857-8647-F24A-BF8B-1202AA584BA1}" srcOrd="1" destOrd="0" presId="urn:microsoft.com/office/officeart/2005/8/layout/list1"/>
    <dgm:cxn modelId="{CCC0EF3D-DA24-8745-9234-B977FF185C0D}" srcId="{2897A2D1-909A-C64D-895E-AA4110D96FED}" destId="{B9B25FED-1012-7F4F-8E7D-74E164C3B554}" srcOrd="2" destOrd="0" parTransId="{ED583A0F-92EA-2D4A-ACC1-4B653349F684}" sibTransId="{8F9AA8AA-7972-3543-B0AC-88A86FC6F57B}"/>
    <dgm:cxn modelId="{C42E7453-F4C4-A140-8647-3FDF439D2764}" srcId="{2897A2D1-909A-C64D-895E-AA4110D96FED}" destId="{153AD166-0D5D-AD40-9577-9CBF12D81433}" srcOrd="4" destOrd="0" parTransId="{3282BB85-FFD1-B848-91CC-A6FAFF83FCAB}" sibTransId="{EFB3B195-6E33-8749-AC11-5A44A6D94DE7}"/>
    <dgm:cxn modelId="{EA951560-C17D-8C46-BC6E-3C2262074EE7}" type="presOf" srcId="{2897A2D1-909A-C64D-895E-AA4110D96FED}" destId="{2C243E86-DA3D-D946-A019-244F2C3026F9}" srcOrd="0" destOrd="0" presId="urn:microsoft.com/office/officeart/2005/8/layout/list1"/>
    <dgm:cxn modelId="{054D626C-5454-2248-A005-70E20BB0076A}" type="presOf" srcId="{2AB0BF19-3611-1941-9BB1-8F426A71A75F}" destId="{F319852E-37EA-594E-A4E4-175ADB816639}" srcOrd="0" destOrd="0" presId="urn:microsoft.com/office/officeart/2005/8/layout/list1"/>
    <dgm:cxn modelId="{83F09F87-4E9F-0342-B9E2-0D11959E66E5}" type="presOf" srcId="{153AD166-0D5D-AD40-9577-9CBF12D81433}" destId="{61794241-3132-4E44-819C-C6A3DAACBCCB}" srcOrd="1" destOrd="0" presId="urn:microsoft.com/office/officeart/2005/8/layout/list1"/>
    <dgm:cxn modelId="{4FE22090-3675-E142-8854-40F8BA046C31}" srcId="{2897A2D1-909A-C64D-895E-AA4110D96FED}" destId="{2AB0BF19-3611-1941-9BB1-8F426A71A75F}" srcOrd="0" destOrd="0" parTransId="{CB518678-B91E-0241-ABC4-5C724B472160}" sibTransId="{69DE77BB-D1B8-E846-837A-B10D99E4F9A0}"/>
    <dgm:cxn modelId="{459F6793-FD61-3442-8133-DE9A48463648}" type="presOf" srcId="{2AB0BF19-3611-1941-9BB1-8F426A71A75F}" destId="{5410EEAE-F10F-DB4E-8C05-090DF2EE09A4}" srcOrd="1" destOrd="0" presId="urn:microsoft.com/office/officeart/2005/8/layout/list1"/>
    <dgm:cxn modelId="{5C997794-6791-F84E-B4D5-0D85E3DF7BD9}" type="presOf" srcId="{B9B25FED-1012-7F4F-8E7D-74E164C3B554}" destId="{91DD310C-98DB-1D45-AF93-6FF1BD214B12}" srcOrd="0" destOrd="0" presId="urn:microsoft.com/office/officeart/2005/8/layout/list1"/>
    <dgm:cxn modelId="{AD09A794-DF9D-6A47-9DEC-97319A0637F3}" type="presOf" srcId="{FF2DC915-833B-3A4E-A0FF-15B1D285C1D1}" destId="{D3835D5B-9557-C444-907C-E873F359B0FE}" srcOrd="1" destOrd="0" presId="urn:microsoft.com/office/officeart/2005/8/layout/list1"/>
    <dgm:cxn modelId="{45E547C0-62B2-E844-9416-96459701B94F}" srcId="{2897A2D1-909A-C64D-895E-AA4110D96FED}" destId="{D8565C12-6F7E-A94E-85A6-52A0F01E0500}" srcOrd="3" destOrd="0" parTransId="{9F82050A-0021-2B44-A089-B5D3A3DDAC69}" sibTransId="{35ECC63C-5582-2E4D-A395-B5118389BEF4}"/>
    <dgm:cxn modelId="{872D65C0-045C-C048-AFE5-F3ADF5F69C32}" type="presOf" srcId="{B9B25FED-1012-7F4F-8E7D-74E164C3B554}" destId="{AB4A9F2F-2214-5D49-82D8-F50CB7B67F6A}" srcOrd="1" destOrd="0" presId="urn:microsoft.com/office/officeart/2005/8/layout/list1"/>
    <dgm:cxn modelId="{9CC897C8-E093-0C4D-A49E-668B32D54936}" type="presOf" srcId="{153AD166-0D5D-AD40-9577-9CBF12D81433}" destId="{CCFA27EB-6661-9D41-87DF-FADE91851C22}" srcOrd="0" destOrd="0" presId="urn:microsoft.com/office/officeart/2005/8/layout/list1"/>
    <dgm:cxn modelId="{1B3645CE-8E7C-D64D-9AA4-91E0D9A8CFF1}" type="presOf" srcId="{D8565C12-6F7E-A94E-85A6-52A0F01E0500}" destId="{F7D740F4-36D7-F848-BD70-F58BFF3F91FC}" srcOrd="0" destOrd="0" presId="urn:microsoft.com/office/officeart/2005/8/layout/list1"/>
    <dgm:cxn modelId="{C7475DE6-3690-CD4F-AE81-C9130A193944}" type="presOf" srcId="{FF2DC915-833B-3A4E-A0FF-15B1D285C1D1}" destId="{CE576AF9-8BD1-6345-8C9F-6DB26040A40B}" srcOrd="0" destOrd="0" presId="urn:microsoft.com/office/officeart/2005/8/layout/list1"/>
    <dgm:cxn modelId="{38625FDD-1612-3C4F-8E90-B04EE5D18D38}" type="presParOf" srcId="{2C243E86-DA3D-D946-A019-244F2C3026F9}" destId="{0791B0F1-446F-2849-AD96-9B5527DA75D1}" srcOrd="0" destOrd="0" presId="urn:microsoft.com/office/officeart/2005/8/layout/list1"/>
    <dgm:cxn modelId="{CFB4DCE0-4B29-D044-AE21-769F9867D224}" type="presParOf" srcId="{0791B0F1-446F-2849-AD96-9B5527DA75D1}" destId="{F319852E-37EA-594E-A4E4-175ADB816639}" srcOrd="0" destOrd="0" presId="urn:microsoft.com/office/officeart/2005/8/layout/list1"/>
    <dgm:cxn modelId="{B9AD2E69-5881-3846-8859-799EBE05C7E2}" type="presParOf" srcId="{0791B0F1-446F-2849-AD96-9B5527DA75D1}" destId="{5410EEAE-F10F-DB4E-8C05-090DF2EE09A4}" srcOrd="1" destOrd="0" presId="urn:microsoft.com/office/officeart/2005/8/layout/list1"/>
    <dgm:cxn modelId="{27505564-9DC6-A849-8A64-1531379EDC44}" type="presParOf" srcId="{2C243E86-DA3D-D946-A019-244F2C3026F9}" destId="{DA969B1A-A857-084B-9AFA-C5C173DBF439}" srcOrd="1" destOrd="0" presId="urn:microsoft.com/office/officeart/2005/8/layout/list1"/>
    <dgm:cxn modelId="{A5723C7C-773F-E743-85F6-862E94AC6689}" type="presParOf" srcId="{2C243E86-DA3D-D946-A019-244F2C3026F9}" destId="{535A874A-FED8-134B-84AD-003CA03E4E54}" srcOrd="2" destOrd="0" presId="urn:microsoft.com/office/officeart/2005/8/layout/list1"/>
    <dgm:cxn modelId="{64889D5F-4D7F-384F-A1A0-F677C7EF8615}" type="presParOf" srcId="{2C243E86-DA3D-D946-A019-244F2C3026F9}" destId="{87203D35-B32E-4E46-85F2-7C36A577C22C}" srcOrd="3" destOrd="0" presId="urn:microsoft.com/office/officeart/2005/8/layout/list1"/>
    <dgm:cxn modelId="{CAB515E5-50A1-6D42-905E-5A5563C22D52}" type="presParOf" srcId="{2C243E86-DA3D-D946-A019-244F2C3026F9}" destId="{38905B71-3F4B-DB47-B836-8AC66C8382A8}" srcOrd="4" destOrd="0" presId="urn:microsoft.com/office/officeart/2005/8/layout/list1"/>
    <dgm:cxn modelId="{03F73F44-4417-F848-AF5D-D590543C6F22}" type="presParOf" srcId="{38905B71-3F4B-DB47-B836-8AC66C8382A8}" destId="{CE576AF9-8BD1-6345-8C9F-6DB26040A40B}" srcOrd="0" destOrd="0" presId="urn:microsoft.com/office/officeart/2005/8/layout/list1"/>
    <dgm:cxn modelId="{734BEA64-8A1F-9848-BF56-C28FB9E5578F}" type="presParOf" srcId="{38905B71-3F4B-DB47-B836-8AC66C8382A8}" destId="{D3835D5B-9557-C444-907C-E873F359B0FE}" srcOrd="1" destOrd="0" presId="urn:microsoft.com/office/officeart/2005/8/layout/list1"/>
    <dgm:cxn modelId="{F5B03999-F4E5-BE42-8759-72809A157C27}" type="presParOf" srcId="{2C243E86-DA3D-D946-A019-244F2C3026F9}" destId="{44D57394-C563-3F4A-A7B1-55AE40CF68C4}" srcOrd="5" destOrd="0" presId="urn:microsoft.com/office/officeart/2005/8/layout/list1"/>
    <dgm:cxn modelId="{59AC9E87-4420-BE44-B3D9-D1F324E6A64B}" type="presParOf" srcId="{2C243E86-DA3D-D946-A019-244F2C3026F9}" destId="{EA5A93C3-A669-9C4A-8888-C8B5715849C0}" srcOrd="6" destOrd="0" presId="urn:microsoft.com/office/officeart/2005/8/layout/list1"/>
    <dgm:cxn modelId="{21EF3488-92C4-AB4D-9A9D-034BA889B5C1}" type="presParOf" srcId="{2C243E86-DA3D-D946-A019-244F2C3026F9}" destId="{8450715B-A8DB-F94D-AFD7-A61D16CD931E}" srcOrd="7" destOrd="0" presId="urn:microsoft.com/office/officeart/2005/8/layout/list1"/>
    <dgm:cxn modelId="{F42E33E9-0C49-CF44-A05C-9CB82E45F8AC}" type="presParOf" srcId="{2C243E86-DA3D-D946-A019-244F2C3026F9}" destId="{EAFD7057-98EB-0B40-9185-EC78A797670E}" srcOrd="8" destOrd="0" presId="urn:microsoft.com/office/officeart/2005/8/layout/list1"/>
    <dgm:cxn modelId="{66F23E91-6711-324F-BB5F-3BDB9F112BDD}" type="presParOf" srcId="{EAFD7057-98EB-0B40-9185-EC78A797670E}" destId="{91DD310C-98DB-1D45-AF93-6FF1BD214B12}" srcOrd="0" destOrd="0" presId="urn:microsoft.com/office/officeart/2005/8/layout/list1"/>
    <dgm:cxn modelId="{D713B5C5-58C3-9442-9D39-0FF607422887}" type="presParOf" srcId="{EAFD7057-98EB-0B40-9185-EC78A797670E}" destId="{AB4A9F2F-2214-5D49-82D8-F50CB7B67F6A}" srcOrd="1" destOrd="0" presId="urn:microsoft.com/office/officeart/2005/8/layout/list1"/>
    <dgm:cxn modelId="{2F8F0756-072A-AA45-95E1-BDA5FBA672E8}" type="presParOf" srcId="{2C243E86-DA3D-D946-A019-244F2C3026F9}" destId="{DD012891-6806-CE48-BC1F-845E807FCDC2}" srcOrd="9" destOrd="0" presId="urn:microsoft.com/office/officeart/2005/8/layout/list1"/>
    <dgm:cxn modelId="{3592734D-1C3B-7B4E-A71C-6BE600B83F58}" type="presParOf" srcId="{2C243E86-DA3D-D946-A019-244F2C3026F9}" destId="{E8ABBF66-2190-834E-9EFD-5864E0AF8A2B}" srcOrd="10" destOrd="0" presId="urn:microsoft.com/office/officeart/2005/8/layout/list1"/>
    <dgm:cxn modelId="{20472F9C-0256-C84F-A3B5-47CC872EA927}" type="presParOf" srcId="{2C243E86-DA3D-D946-A019-244F2C3026F9}" destId="{A4AD307E-CC2D-6542-B300-92B32E01F0CC}" srcOrd="11" destOrd="0" presId="urn:microsoft.com/office/officeart/2005/8/layout/list1"/>
    <dgm:cxn modelId="{FED08CB6-725A-7046-9C86-8AB8F58998E3}" type="presParOf" srcId="{2C243E86-DA3D-D946-A019-244F2C3026F9}" destId="{BFCCCBB6-7584-8440-B4DC-E94F905997AD}" srcOrd="12" destOrd="0" presId="urn:microsoft.com/office/officeart/2005/8/layout/list1"/>
    <dgm:cxn modelId="{D2E7401C-2A0D-3041-9B36-76EAF035D24B}" type="presParOf" srcId="{BFCCCBB6-7584-8440-B4DC-E94F905997AD}" destId="{F7D740F4-36D7-F848-BD70-F58BFF3F91FC}" srcOrd="0" destOrd="0" presId="urn:microsoft.com/office/officeart/2005/8/layout/list1"/>
    <dgm:cxn modelId="{A531A2AE-5BB3-7145-B123-C2BBDF26B823}" type="presParOf" srcId="{BFCCCBB6-7584-8440-B4DC-E94F905997AD}" destId="{F3384857-8647-F24A-BF8B-1202AA584BA1}" srcOrd="1" destOrd="0" presId="urn:microsoft.com/office/officeart/2005/8/layout/list1"/>
    <dgm:cxn modelId="{A00E72AA-CAF2-1345-861C-42D92DF91E7A}" type="presParOf" srcId="{2C243E86-DA3D-D946-A019-244F2C3026F9}" destId="{CDEC61A0-0F3C-9448-A598-8235D3F51FF2}" srcOrd="13" destOrd="0" presId="urn:microsoft.com/office/officeart/2005/8/layout/list1"/>
    <dgm:cxn modelId="{ED521335-D839-EF4F-AEF4-8F474B232203}" type="presParOf" srcId="{2C243E86-DA3D-D946-A019-244F2C3026F9}" destId="{197239DB-7940-6D4A-AEB5-6510E59AA615}" srcOrd="14" destOrd="0" presId="urn:microsoft.com/office/officeart/2005/8/layout/list1"/>
    <dgm:cxn modelId="{8A58992F-A3F7-834A-826E-B5D39C977517}" type="presParOf" srcId="{2C243E86-DA3D-D946-A019-244F2C3026F9}" destId="{6F275581-7A00-0743-955C-84DE029AA145}" srcOrd="15" destOrd="0" presId="urn:microsoft.com/office/officeart/2005/8/layout/list1"/>
    <dgm:cxn modelId="{208D8DDB-F510-254C-B518-1AE80C0A77D2}" type="presParOf" srcId="{2C243E86-DA3D-D946-A019-244F2C3026F9}" destId="{30F65E8D-7B1E-B14B-A885-A0126A9AD1BD}" srcOrd="16" destOrd="0" presId="urn:microsoft.com/office/officeart/2005/8/layout/list1"/>
    <dgm:cxn modelId="{5EEF5786-627E-7844-BC37-B41121A9229B}" type="presParOf" srcId="{30F65E8D-7B1E-B14B-A885-A0126A9AD1BD}" destId="{CCFA27EB-6661-9D41-87DF-FADE91851C22}" srcOrd="0" destOrd="0" presId="urn:microsoft.com/office/officeart/2005/8/layout/list1"/>
    <dgm:cxn modelId="{247959F1-22C4-5046-9B08-3D786E4EBFA7}" type="presParOf" srcId="{30F65E8D-7B1E-B14B-A885-A0126A9AD1BD}" destId="{61794241-3132-4E44-819C-C6A3DAACBCCB}" srcOrd="1" destOrd="0" presId="urn:microsoft.com/office/officeart/2005/8/layout/list1"/>
    <dgm:cxn modelId="{00F504BC-0E4C-7A47-B6FA-DCA8A8E238C7}" type="presParOf" srcId="{2C243E86-DA3D-D946-A019-244F2C3026F9}" destId="{DCD87DBB-8DE7-6448-A6F4-22E37C3B7A66}" srcOrd="17" destOrd="0" presId="urn:microsoft.com/office/officeart/2005/8/layout/list1"/>
    <dgm:cxn modelId="{4557EC59-1E78-2A40-B404-97CF5263EC7C}" type="presParOf" srcId="{2C243E86-DA3D-D946-A019-244F2C3026F9}" destId="{C39FE04D-BD23-3D4D-812E-D4569FE31374}" srcOrd="18" destOrd="0" presId="urn:microsoft.com/office/officeart/2005/8/layout/list1"/>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535A874A-FED8-134B-84AD-003CA03E4E54}">
      <dsp:nvSpPr>
        <dsp:cNvPr id="0" name=""/>
        <dsp:cNvSpPr/>
      </dsp:nvSpPr>
      <dsp:spPr>
        <a:xfrm>
          <a:off x="0" y="243649"/>
          <a:ext cx="6134100" cy="378000"/>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5410EEAE-F10F-DB4E-8C05-090DF2EE09A4}">
      <dsp:nvSpPr>
        <dsp:cNvPr id="0" name=""/>
        <dsp:cNvSpPr/>
      </dsp:nvSpPr>
      <dsp:spPr>
        <a:xfrm>
          <a:off x="306705" y="22249"/>
          <a:ext cx="4293870" cy="442800"/>
        </a:xfrm>
        <a:prstGeom prst="roundRect">
          <a:avLst/>
        </a:prstGeom>
        <a:solidFill>
          <a:schemeClr val="accent4">
            <a:lumMod val="75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62298" tIns="0" rIns="162298" bIns="0" numCol="1" spcCol="1270" anchor="ctr" anchorCtr="0">
          <a:noAutofit/>
        </a:bodyPr>
        <a:lstStyle/>
        <a:p>
          <a:pPr marL="0" lvl="0" indent="0" algn="l" defTabSz="666750">
            <a:lnSpc>
              <a:spcPct val="90000"/>
            </a:lnSpc>
            <a:spcBef>
              <a:spcPct val="0"/>
            </a:spcBef>
            <a:spcAft>
              <a:spcPct val="35000"/>
            </a:spcAft>
            <a:buNone/>
          </a:pPr>
          <a:r>
            <a:rPr lang="en-US" sz="1500" kern="1200"/>
            <a:t>Step 1.) </a:t>
          </a:r>
        </a:p>
      </dsp:txBody>
      <dsp:txXfrm>
        <a:off x="328321" y="43865"/>
        <a:ext cx="4250638" cy="399568"/>
      </dsp:txXfrm>
    </dsp:sp>
    <dsp:sp modelId="{EA5A93C3-A669-9C4A-8888-C8B5715849C0}">
      <dsp:nvSpPr>
        <dsp:cNvPr id="0" name=""/>
        <dsp:cNvSpPr/>
      </dsp:nvSpPr>
      <dsp:spPr>
        <a:xfrm>
          <a:off x="0" y="924050"/>
          <a:ext cx="6134100" cy="378000"/>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D3835D5B-9557-C444-907C-E873F359B0FE}">
      <dsp:nvSpPr>
        <dsp:cNvPr id="0" name=""/>
        <dsp:cNvSpPr/>
      </dsp:nvSpPr>
      <dsp:spPr>
        <a:xfrm>
          <a:off x="306705" y="702649"/>
          <a:ext cx="4293870" cy="442800"/>
        </a:xfrm>
        <a:prstGeom prst="roundRect">
          <a:avLst/>
        </a:prstGeom>
        <a:solidFill>
          <a:schemeClr val="accent4">
            <a:lumMod val="75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62298" tIns="0" rIns="162298" bIns="0" numCol="1" spcCol="1270" anchor="ctr" anchorCtr="0">
          <a:noAutofit/>
        </a:bodyPr>
        <a:lstStyle/>
        <a:p>
          <a:pPr marL="0" lvl="0" indent="0" algn="l" defTabSz="666750">
            <a:lnSpc>
              <a:spcPct val="90000"/>
            </a:lnSpc>
            <a:spcBef>
              <a:spcPct val="0"/>
            </a:spcBef>
            <a:spcAft>
              <a:spcPct val="35000"/>
            </a:spcAft>
            <a:buNone/>
          </a:pPr>
          <a:r>
            <a:rPr lang="en-US" sz="1500" kern="1200"/>
            <a:t>Step 2.)</a:t>
          </a:r>
        </a:p>
      </dsp:txBody>
      <dsp:txXfrm>
        <a:off x="328321" y="724265"/>
        <a:ext cx="4250638" cy="399568"/>
      </dsp:txXfrm>
    </dsp:sp>
    <dsp:sp modelId="{E8ABBF66-2190-834E-9EFD-5864E0AF8A2B}">
      <dsp:nvSpPr>
        <dsp:cNvPr id="0" name=""/>
        <dsp:cNvSpPr/>
      </dsp:nvSpPr>
      <dsp:spPr>
        <a:xfrm>
          <a:off x="0" y="1604450"/>
          <a:ext cx="6134100" cy="378000"/>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AB4A9F2F-2214-5D49-82D8-F50CB7B67F6A}">
      <dsp:nvSpPr>
        <dsp:cNvPr id="0" name=""/>
        <dsp:cNvSpPr/>
      </dsp:nvSpPr>
      <dsp:spPr>
        <a:xfrm>
          <a:off x="306705" y="1383050"/>
          <a:ext cx="4293870" cy="442800"/>
        </a:xfrm>
        <a:prstGeom prst="roundRect">
          <a:avLst/>
        </a:prstGeom>
        <a:solidFill>
          <a:schemeClr val="accent4">
            <a:lumMod val="75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62298" tIns="0" rIns="162298" bIns="0" numCol="1" spcCol="1270" anchor="ctr" anchorCtr="0">
          <a:noAutofit/>
        </a:bodyPr>
        <a:lstStyle/>
        <a:p>
          <a:pPr marL="0" lvl="0" indent="0" algn="l" defTabSz="666750">
            <a:lnSpc>
              <a:spcPct val="90000"/>
            </a:lnSpc>
            <a:spcBef>
              <a:spcPct val="0"/>
            </a:spcBef>
            <a:spcAft>
              <a:spcPct val="35000"/>
            </a:spcAft>
            <a:buNone/>
          </a:pPr>
          <a:r>
            <a:rPr lang="en-US" sz="1500" kern="1200"/>
            <a:t>Step 3.)</a:t>
          </a:r>
        </a:p>
      </dsp:txBody>
      <dsp:txXfrm>
        <a:off x="328321" y="1404666"/>
        <a:ext cx="4250638" cy="399568"/>
      </dsp:txXfrm>
    </dsp:sp>
    <dsp:sp modelId="{197239DB-7940-6D4A-AEB5-6510E59AA615}">
      <dsp:nvSpPr>
        <dsp:cNvPr id="0" name=""/>
        <dsp:cNvSpPr/>
      </dsp:nvSpPr>
      <dsp:spPr>
        <a:xfrm>
          <a:off x="0" y="2284850"/>
          <a:ext cx="6134100" cy="378000"/>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F3384857-8647-F24A-BF8B-1202AA584BA1}">
      <dsp:nvSpPr>
        <dsp:cNvPr id="0" name=""/>
        <dsp:cNvSpPr/>
      </dsp:nvSpPr>
      <dsp:spPr>
        <a:xfrm>
          <a:off x="306705" y="2063450"/>
          <a:ext cx="4293870" cy="442800"/>
        </a:xfrm>
        <a:prstGeom prst="roundRect">
          <a:avLst/>
        </a:prstGeom>
        <a:solidFill>
          <a:schemeClr val="accent4">
            <a:lumMod val="75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62298" tIns="0" rIns="162298" bIns="0" numCol="1" spcCol="1270" anchor="ctr" anchorCtr="0">
          <a:noAutofit/>
        </a:bodyPr>
        <a:lstStyle/>
        <a:p>
          <a:pPr marL="0" lvl="0" indent="0" algn="l" defTabSz="666750">
            <a:lnSpc>
              <a:spcPct val="90000"/>
            </a:lnSpc>
            <a:spcBef>
              <a:spcPct val="0"/>
            </a:spcBef>
            <a:spcAft>
              <a:spcPct val="35000"/>
            </a:spcAft>
            <a:buNone/>
          </a:pPr>
          <a:r>
            <a:rPr lang="en-US" sz="1500" kern="1200"/>
            <a:t>Step 4.)</a:t>
          </a:r>
        </a:p>
      </dsp:txBody>
      <dsp:txXfrm>
        <a:off x="328321" y="2085066"/>
        <a:ext cx="4250638" cy="399568"/>
      </dsp:txXfrm>
    </dsp:sp>
    <dsp:sp modelId="{C39FE04D-BD23-3D4D-812E-D4569FE31374}">
      <dsp:nvSpPr>
        <dsp:cNvPr id="0" name=""/>
        <dsp:cNvSpPr/>
      </dsp:nvSpPr>
      <dsp:spPr>
        <a:xfrm>
          <a:off x="0" y="2965250"/>
          <a:ext cx="6134100" cy="378000"/>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61794241-3132-4E44-819C-C6A3DAACBCCB}">
      <dsp:nvSpPr>
        <dsp:cNvPr id="0" name=""/>
        <dsp:cNvSpPr/>
      </dsp:nvSpPr>
      <dsp:spPr>
        <a:xfrm>
          <a:off x="306705" y="2743850"/>
          <a:ext cx="4293870" cy="442800"/>
        </a:xfrm>
        <a:prstGeom prst="roundRect">
          <a:avLst/>
        </a:prstGeom>
        <a:solidFill>
          <a:schemeClr val="accent4">
            <a:lumMod val="75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62298" tIns="0" rIns="162298" bIns="0" numCol="1" spcCol="1270" anchor="ctr" anchorCtr="0">
          <a:noAutofit/>
        </a:bodyPr>
        <a:lstStyle/>
        <a:p>
          <a:pPr marL="0" lvl="0" indent="0" algn="l" defTabSz="666750">
            <a:lnSpc>
              <a:spcPct val="90000"/>
            </a:lnSpc>
            <a:spcBef>
              <a:spcPct val="0"/>
            </a:spcBef>
            <a:spcAft>
              <a:spcPct val="35000"/>
            </a:spcAft>
            <a:buNone/>
          </a:pPr>
          <a:r>
            <a:rPr lang="en-US" sz="1500" kern="1200"/>
            <a:t>Step 5.)</a:t>
          </a:r>
        </a:p>
      </dsp:txBody>
      <dsp:txXfrm>
        <a:off x="328321" y="2765466"/>
        <a:ext cx="4250638" cy="399568"/>
      </dsp:txXfrm>
    </dsp:sp>
  </dsp:spTree>
</dsp:drawing>
</file>

<file path=xl/diagrams/layout1.xml><?xml version="1.0" encoding="utf-8"?>
<dgm:layoutDef xmlns:dgm="http://schemas.openxmlformats.org/drawingml/2006/diagram" xmlns:a="http://schemas.openxmlformats.org/drawingml/2006/main" uniqueId="urn:microsoft.com/office/officeart/2005/8/layout/list1">
  <dgm:title val=""/>
  <dgm:desc val=""/>
  <dgm:catLst>
    <dgm:cat type="list" pri="4000"/>
  </dgm:catLst>
  <dgm:sampData>
    <dgm:dataModel>
      <dgm:ptLst>
        <dgm:pt modelId="0" type="doc"/>
        <dgm:pt modelId="1">
          <dgm:prSet phldr="1"/>
        </dgm:pt>
        <dgm:pt modelId="2">
          <dgm:prSet phldr="1"/>
        </dgm:pt>
        <dgm:pt modelId="3">
          <dgm:prSet phldr="1"/>
        </dgm:pt>
      </dgm:ptLst>
      <dgm:cxnLst>
        <dgm:cxn modelId="4" srcId="0" destId="1" srcOrd="0" destOrd="0"/>
        <dgm:cxn modelId="5" srcId="0" destId="2" srcOrd="1" destOrd="0"/>
        <dgm:cxn modelId="6" srcId="0" destId="3" srcOrd="2" destOrd="0"/>
      </dgm:cxnLst>
      <dgm:bg/>
      <dgm:whole/>
    </dgm:dataModel>
  </dgm:sampData>
  <dgm:styleData>
    <dgm:dataModel>
      <dgm:ptLst>
        <dgm:pt modelId="0" type="doc"/>
        <dgm:pt modelId="1"/>
        <dgm:pt modelId="2"/>
      </dgm:ptLst>
      <dgm:cxnLst>
        <dgm:cxn modelId="4" srcId="0" destId="1" srcOrd="0" destOrd="0"/>
        <dgm:cxn modelId="5"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linear">
    <dgm:varLst>
      <dgm:dir/>
      <dgm:animLvl val="lvl"/>
      <dgm:resizeHandles val="exact"/>
    </dgm:varLst>
    <dgm:choose name="Name0">
      <dgm:if name="Name1" func="var" arg="dir" op="equ" val="norm">
        <dgm:alg type="lin">
          <dgm:param type="linDir" val="fromT"/>
          <dgm:param type="vertAlign" val="mid"/>
          <dgm:param type="horzAlign" val="l"/>
          <dgm:param type="nodeHorzAlign" val="l"/>
        </dgm:alg>
      </dgm:if>
      <dgm:else name="Name2">
        <dgm:alg type="lin">
          <dgm:param type="linDir" val="fromT"/>
          <dgm:param type="vertAlign" val="mid"/>
          <dgm:param type="horzAlign" val="r"/>
          <dgm:param type="nodeHorzAlign" val="r"/>
        </dgm:alg>
      </dgm:else>
    </dgm:choose>
    <dgm:shape xmlns:r="http://schemas.openxmlformats.org/officeDocument/2006/relationships" r:blip="">
      <dgm:adjLst/>
    </dgm:shape>
    <dgm:presOf/>
    <dgm:constrLst>
      <dgm:constr type="w" for="ch" forName="parentLin" refType="w"/>
      <dgm:constr type="h" for="ch" forName="parentLin" val="INF"/>
      <dgm:constr type="w" for="des" forName="parentLeftMargin" refType="w" fact="0.05"/>
      <dgm:constr type="w" for="des" forName="parentText" refType="w" fact="0.7"/>
      <dgm:constr type="h" for="des" forName="parentText" refType="primFontSz" refFor="des" refForName="parentText" fact="0.82"/>
      <dgm:constr type="h" for="ch" forName="negativeSpace" refType="primFontSz" refFor="des" refForName="parentText" fact="-0.41"/>
      <dgm:constr type="h" for="ch" forName="negativeSpace" refType="h" refFor="des" refForName="parentText" op="lte" fact="-0.82"/>
      <dgm:constr type="h" for="ch" forName="negativeSpace" refType="h" refFor="des" refForName="parentText" op="gte" fact="-0.82"/>
      <dgm:constr type="w" for="ch" forName="childText" refType="w"/>
      <dgm:constr type="h" for="ch" forName="childText" refType="primFontSz" refFor="des" refForName="parentText" fact="0.7"/>
      <dgm:constr type="primFontSz" for="des" forName="parentText" val="65"/>
      <dgm:constr type="primFontSz" for="ch" forName="childText" refType="primFontSz" refFor="des" refForName="parentText"/>
      <dgm:constr type="tMarg" for="ch" forName="childText" refType="primFontSz" refFor="des" refForName="parentText" fact="1.64"/>
      <dgm:constr type="tMarg" for="ch" forName="childText" refType="h" refFor="des" refForName="parentText" op="lte" fact="3.28"/>
      <dgm:constr type="tMarg" for="ch" forName="childText" refType="h" refFor="des" refForName="parentText" op="gte" fact="3.28"/>
      <dgm:constr type="lMarg" for="ch" forName="childText" refType="w" fact="0.22"/>
      <dgm:constr type="rMarg" for="ch" forName="childText" refType="lMarg" refFor="ch" refForName="childText"/>
      <dgm:constr type="lMarg" for="des" forName="parentText" refType="w" fact="0.075"/>
      <dgm:constr type="rMarg" for="des" forName="parentText" refType="lMarg" refFor="des" refForName="parentText"/>
      <dgm:constr type="h" for="ch" forName="spaceBetweenRectangles" refType="primFontSz" refFor="des" refForName="parentText" fact="0.15"/>
    </dgm:constrLst>
    <dgm:ruleLst>
      <dgm:rule type="primFontSz" for="des" forName="parentText" val="5" fact="NaN" max="NaN"/>
    </dgm:ruleLst>
    <dgm:forEach name="Name3" axis="ch" ptType="node">
      <dgm:layoutNode name="parentLin">
        <dgm:choose name="Name4">
          <dgm:if name="Name5" func="var" arg="dir" op="equ" val="norm">
            <dgm:alg type="lin">
              <dgm:param type="linDir" val="fromL"/>
              <dgm:param type="horzAlign" val="l"/>
              <dgm:param type="nodeHorzAlign" val="l"/>
            </dgm:alg>
          </dgm:if>
          <dgm:else name="Name6">
            <dgm:alg type="lin">
              <dgm:param type="linDir" val="fromR"/>
              <dgm:param type="horzAlign" val="r"/>
              <dgm:param type="nodeHorzAlign" val="r"/>
            </dgm:alg>
          </dgm:else>
        </dgm:choose>
        <dgm:shape xmlns:r="http://schemas.openxmlformats.org/officeDocument/2006/relationships" r:blip="">
          <dgm:adjLst/>
        </dgm:shape>
        <dgm:presOf/>
        <dgm:constrLst/>
        <dgm:ruleLst/>
        <dgm:layoutNode name="parentLeftMargin">
          <dgm:alg type="sp"/>
          <dgm:shape xmlns:r="http://schemas.openxmlformats.org/officeDocument/2006/relationships" type="rect" r:blip="" hideGeom="1">
            <dgm:adjLst/>
          </dgm:shape>
          <dgm:presOf axis="self"/>
          <dgm:constrLst>
            <dgm:constr type="h"/>
          </dgm:constrLst>
          <dgm:ruleLst/>
        </dgm:layoutNode>
        <dgm:layoutNode name="parentText" styleLbl="node1">
          <dgm:varLst>
            <dgm:chMax val="0"/>
            <dgm:bulletEnabled val="1"/>
          </dgm:varLst>
          <dgm:choose name="Name7">
            <dgm:if name="Name8" func="var" arg="dir" op="equ" val="norm">
              <dgm:alg type="tx">
                <dgm:param type="parTxLTRAlign" val="l"/>
                <dgm:param type="parTxRTLAlign" val="l"/>
              </dgm:alg>
            </dgm:if>
            <dgm:else name="Name9">
              <dgm:alg type="tx">
                <dgm:param type="parTxLTRAlign" val="r"/>
                <dgm:param type="parTxRTLAlign" val="r"/>
              </dgm:alg>
            </dgm:else>
          </dgm:choose>
          <dgm:shape xmlns:r="http://schemas.openxmlformats.org/officeDocument/2006/relationships" type="roundRect" r:blip="">
            <dgm:adjLst/>
          </dgm:shape>
          <dgm:presOf axis="self" ptType="node"/>
          <dgm:constrLst>
            <dgm:constr type="tMarg"/>
            <dgm:constr type="bMarg"/>
          </dgm:constrLst>
          <dgm:ruleLst/>
        </dgm:layoutNode>
      </dgm:layoutNode>
      <dgm:layoutNode name="negativeSpace">
        <dgm:alg type="sp"/>
        <dgm:shape xmlns:r="http://schemas.openxmlformats.org/officeDocument/2006/relationships" r:blip="">
          <dgm:adjLst/>
        </dgm:shape>
        <dgm:presOf/>
        <dgm:constrLst/>
        <dgm:ruleLst/>
      </dgm:layoutNode>
      <dgm:layoutNode name="childText" styleLbl="conFgAcc1">
        <dgm:varLst>
          <dgm:bulletEnabled val="1"/>
        </dgm:varLst>
        <dgm:alg type="tx">
          <dgm:param type="stBulletLvl" val="1"/>
        </dgm:alg>
        <dgm:shape xmlns:r="http://schemas.openxmlformats.org/officeDocument/2006/relationships" type="rect" r:blip="" zOrderOff="-2">
          <dgm:adjLst/>
        </dgm:shape>
        <dgm:presOf axis="des" ptType="node"/>
        <dgm:constrLst>
          <dgm:constr type="secFontSz" refType="primFontSz"/>
        </dgm:constrLst>
        <dgm:ruleLst>
          <dgm:rule type="h" val="INF" fact="NaN" max="NaN"/>
        </dgm:ruleLst>
      </dgm:layoutNode>
      <dgm:forEach name="Name10" axis="followSib" ptType="sibTrans" cnt="1">
        <dgm:layoutNode name="spaceBetweenRectangles">
          <dgm:alg type="sp"/>
          <dgm:shape xmlns:r="http://schemas.openxmlformats.org/officeDocument/2006/relationships" r:blip="">
            <dgm:adjLst/>
          </dgm:shape>
          <dgm:presOf/>
          <dgm:constrLst/>
          <dgm:ruleLst/>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diagramQuickStyle" Target="../diagrams/quickStyle1.xml"/><Relationship Id="rId2" Type="http://schemas.openxmlformats.org/officeDocument/2006/relationships/diagramLayout" Target="../diagrams/layout1.xml"/><Relationship Id="rId1" Type="http://schemas.openxmlformats.org/officeDocument/2006/relationships/diagramData" Target="../diagrams/data1.xml"/><Relationship Id="rId5" Type="http://schemas.microsoft.com/office/2007/relationships/diagramDrawing" Target="../diagrams/drawing1.xml"/><Relationship Id="rId4" Type="http://schemas.openxmlformats.org/officeDocument/2006/relationships/diagramColors" Target="../diagrams/colors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63500</xdr:colOff>
          <xdr:row>9</xdr:row>
          <xdr:rowOff>0</xdr:rowOff>
        </xdr:from>
        <xdr:to>
          <xdr:col>12</xdr:col>
          <xdr:colOff>165100</xdr:colOff>
          <xdr:row>15</xdr:row>
          <xdr:rowOff>25400</xdr:rowOff>
        </xdr:to>
        <xdr:sp macro="" textlink="">
          <xdr:nvSpPr>
            <xdr:cNvPr id="5125" name="Spinner 5" hidden="1">
              <a:extLst>
                <a:ext uri="{63B3BB69-23CF-44E3-9099-C40C66FF867C}">
                  <a14:compatExt spid="_x0000_s5125"/>
                </a:ext>
                <a:ext uri="{FF2B5EF4-FFF2-40B4-BE49-F238E27FC236}">
                  <a16:creationId xmlns:a16="http://schemas.microsoft.com/office/drawing/2014/main" id="{00000000-0008-0000-0100-0000051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6</xdr:col>
      <xdr:colOff>622300</xdr:colOff>
      <xdr:row>19</xdr:row>
      <xdr:rowOff>241300</xdr:rowOff>
    </xdr:from>
    <xdr:to>
      <xdr:col>10</xdr:col>
      <xdr:colOff>990600</xdr:colOff>
      <xdr:row>37</xdr:row>
      <xdr:rowOff>50800</xdr:rowOff>
    </xdr:to>
    <xdr:graphicFrame macro="">
      <xdr:nvGraphicFramePr>
        <xdr:cNvPr id="5" name="Diagram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mc:AlternateContent xmlns:mc="http://schemas.openxmlformats.org/markup-compatibility/2006">
    <mc:Choice xmlns:a14="http://schemas.microsoft.com/office/drawing/2010/main" Requires="a14">
      <xdr:twoCellAnchor>
        <xdr:from>
          <xdr:col>7</xdr:col>
          <xdr:colOff>1143000</xdr:colOff>
          <xdr:row>19</xdr:row>
          <xdr:rowOff>292100</xdr:rowOff>
        </xdr:from>
        <xdr:to>
          <xdr:col>9</xdr:col>
          <xdr:colOff>596900</xdr:colOff>
          <xdr:row>20</xdr:row>
          <xdr:rowOff>127000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100-000009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Clear out cash flows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1155700</xdr:colOff>
          <xdr:row>22</xdr:row>
          <xdr:rowOff>76200</xdr:rowOff>
        </xdr:from>
        <xdr:to>
          <xdr:col>9</xdr:col>
          <xdr:colOff>609600</xdr:colOff>
          <xdr:row>24</xdr:row>
          <xdr:rowOff>101600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100-00000A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Replace Base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1155700</xdr:colOff>
          <xdr:row>26</xdr:row>
          <xdr:rowOff>63500</xdr:rowOff>
        </xdr:from>
        <xdr:to>
          <xdr:col>9</xdr:col>
          <xdr:colOff>571500</xdr:colOff>
          <xdr:row>28</xdr:row>
          <xdr:rowOff>76200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100-000008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Reset crossover rate</a:t>
              </a:r>
            </a:p>
            <a:p>
              <a:pPr algn="ctr" rtl="0">
                <a:defRPr sz="1000"/>
              </a:pPr>
              <a:endParaRPr lang="en-US" sz="12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1054100</xdr:colOff>
          <xdr:row>30</xdr:row>
          <xdr:rowOff>0</xdr:rowOff>
        </xdr:from>
        <xdr:to>
          <xdr:col>9</xdr:col>
          <xdr:colOff>647700</xdr:colOff>
          <xdr:row>32</xdr:row>
          <xdr:rowOff>50800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100-000007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Calculate crossover 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1092200</xdr:colOff>
          <xdr:row>33</xdr:row>
          <xdr:rowOff>165100</xdr:rowOff>
        </xdr:from>
        <xdr:to>
          <xdr:col>9</xdr:col>
          <xdr:colOff>673100</xdr:colOff>
          <xdr:row>36</xdr:row>
          <xdr:rowOff>12700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100-000006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Go to NPV Profile</a:t>
              </a:r>
            </a:p>
          </xdr:txBody>
        </xdr:sp>
        <xdr:clientData fPrintsWithSheet="0"/>
      </xdr:twoCellAnchor>
    </mc:Choice>
    <mc:Fallback/>
  </mc:AlternateContent>
  <xdr:twoCellAnchor>
    <xdr:from>
      <xdr:col>9</xdr:col>
      <xdr:colOff>622300</xdr:colOff>
      <xdr:row>22</xdr:row>
      <xdr:rowOff>38100</xdr:rowOff>
    </xdr:from>
    <xdr:to>
      <xdr:col>10</xdr:col>
      <xdr:colOff>1130300</xdr:colOff>
      <xdr:row>23</xdr:row>
      <xdr:rowOff>88900</xdr:rowOff>
    </xdr:to>
    <xdr:cxnSp macro="">
      <xdr:nvCxnSpPr>
        <xdr:cNvPr id="12" name="Straight Arrow Connector 11">
          <a:extLst>
            <a:ext uri="{FF2B5EF4-FFF2-40B4-BE49-F238E27FC236}">
              <a16:creationId xmlns:a16="http://schemas.microsoft.com/office/drawing/2014/main" id="{00000000-0008-0000-0100-00000C000000}"/>
            </a:ext>
          </a:extLst>
        </xdr:cNvPr>
        <xdr:cNvCxnSpPr/>
      </xdr:nvCxnSpPr>
      <xdr:spPr>
        <a:xfrm flipV="1">
          <a:off x="9461500" y="4292600"/>
          <a:ext cx="1917700" cy="228600"/>
        </a:xfrm>
        <a:prstGeom prst="straightConnector1">
          <a:avLst/>
        </a:prstGeom>
        <a:ln>
          <a:solidFill>
            <a:srgbClr val="FFC000"/>
          </a:solidFill>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12</xdr:col>
      <xdr:colOff>228600</xdr:colOff>
      <xdr:row>9</xdr:row>
      <xdr:rowOff>25400</xdr:rowOff>
    </xdr:from>
    <xdr:to>
      <xdr:col>13</xdr:col>
      <xdr:colOff>38100</xdr:colOff>
      <xdr:row>11</xdr:row>
      <xdr:rowOff>165100</xdr:rowOff>
    </xdr:to>
    <xdr:cxnSp macro="">
      <xdr:nvCxnSpPr>
        <xdr:cNvPr id="27" name="Straight Arrow Connector 26">
          <a:extLst>
            <a:ext uri="{FF2B5EF4-FFF2-40B4-BE49-F238E27FC236}">
              <a16:creationId xmlns:a16="http://schemas.microsoft.com/office/drawing/2014/main" id="{00000000-0008-0000-0100-00001B000000}"/>
            </a:ext>
          </a:extLst>
        </xdr:cNvPr>
        <xdr:cNvCxnSpPr/>
      </xdr:nvCxnSpPr>
      <xdr:spPr>
        <a:xfrm flipV="1">
          <a:off x="12230100" y="1651000"/>
          <a:ext cx="584200" cy="508000"/>
        </a:xfrm>
        <a:prstGeom prst="straightConnector1">
          <a:avLst/>
        </a:prstGeom>
        <a:ln>
          <a:solidFill>
            <a:srgbClr val="FFC000"/>
          </a:solidFill>
          <a:tailEnd type="triangle"/>
        </a:ln>
      </xdr:spPr>
      <xdr:style>
        <a:lnRef idx="1">
          <a:schemeClr val="accent2"/>
        </a:lnRef>
        <a:fillRef idx="0">
          <a:schemeClr val="accent2"/>
        </a:fillRef>
        <a:effectRef idx="0">
          <a:schemeClr val="accent2"/>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152400</xdr:colOff>
          <xdr:row>56</xdr:row>
          <xdr:rowOff>12700</xdr:rowOff>
        </xdr:from>
        <xdr:to>
          <xdr:col>4</xdr:col>
          <xdr:colOff>1676400</xdr:colOff>
          <xdr:row>58</xdr:row>
          <xdr:rowOff>114300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Go back</a:t>
              </a:r>
            </a:p>
          </xdr:txBody>
        </xdr:sp>
        <xdr:clientData fPrintsWithSheet="0"/>
      </xdr:twoCellAnchor>
    </mc:Choice>
    <mc:Fallback/>
  </mc:AlternateContent>
  <xdr:twoCellAnchor>
    <xdr:from>
      <xdr:col>3</xdr:col>
      <xdr:colOff>381000</xdr:colOff>
      <xdr:row>3</xdr:row>
      <xdr:rowOff>38100</xdr:rowOff>
    </xdr:from>
    <xdr:to>
      <xdr:col>7</xdr:col>
      <xdr:colOff>304800</xdr:colOff>
      <xdr:row>26</xdr:row>
      <xdr:rowOff>127000</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Kosberg, Erik" id="{A6C0E41A-9FDB-BF47-A931-91C284E8D5B0}" userId="S::erik.kosberg@marquette.edu::8c9850f4-12e3-4e01-9df1-512651cdae55" providerId="AD"/>
</personList>
</file>

<file path=xl/theme/theme1.xml><?xml version="1.0" encoding="utf-8"?>
<a:theme xmlns:a="http://schemas.openxmlformats.org/drawingml/2006/main" name="Office Theme">
  <a:themeElements>
    <a:clrScheme name="Yellow">
      <a:dk1>
        <a:sysClr val="windowText" lastClr="000000"/>
      </a:dk1>
      <a:lt1>
        <a:sysClr val="window" lastClr="FFFFFF"/>
      </a:lt1>
      <a:dk2>
        <a:srgbClr val="39302A"/>
      </a:dk2>
      <a:lt2>
        <a:srgbClr val="E5DEDB"/>
      </a:lt2>
      <a:accent1>
        <a:srgbClr val="FFCA08"/>
      </a:accent1>
      <a:accent2>
        <a:srgbClr val="F8931D"/>
      </a:accent2>
      <a:accent3>
        <a:srgbClr val="CE8D3E"/>
      </a:accent3>
      <a:accent4>
        <a:srgbClr val="EC7016"/>
      </a:accent4>
      <a:accent5>
        <a:srgbClr val="E64823"/>
      </a:accent5>
      <a:accent6>
        <a:srgbClr val="9C6A6A"/>
      </a:accent6>
      <a:hlink>
        <a:srgbClr val="2998E3"/>
      </a:hlink>
      <a:folHlink>
        <a:srgbClr val="7F723D"/>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6E27C-5BDF-4425-9441-85FD8513DAB8}">
  <sheetPr codeName="Sheet1"/>
  <dimension ref="A1:G48"/>
  <sheetViews>
    <sheetView topLeftCell="A18" workbookViewId="0">
      <selection activeCell="D7" sqref="D7"/>
    </sheetView>
  </sheetViews>
  <sheetFormatPr baseColWidth="10" defaultColWidth="8.75" defaultRowHeight="11"/>
  <cols>
    <col min="1" max="1" width="14.75" customWidth="1"/>
    <col min="2" max="2" width="5" customWidth="1"/>
    <col min="3" max="3" width="60.25" bestFit="1" customWidth="1"/>
    <col min="4" max="4" width="69.75" customWidth="1"/>
    <col min="5" max="5" width="35.75" customWidth="1"/>
    <col min="6" max="6" width="56.75" customWidth="1"/>
    <col min="7" max="7" width="65.25" customWidth="1"/>
  </cols>
  <sheetData>
    <row r="1" spans="1:5" ht="16">
      <c r="A1" s="75" t="s">
        <v>30</v>
      </c>
      <c r="B1" s="76"/>
      <c r="C1" s="76"/>
      <c r="D1" s="76"/>
      <c r="E1" s="77"/>
    </row>
    <row r="2" spans="1:5" ht="16">
      <c r="A2" s="17"/>
      <c r="B2" s="17"/>
      <c r="C2" s="17"/>
      <c r="D2" s="17"/>
      <c r="E2" s="17"/>
    </row>
    <row r="3" spans="1:5" ht="16">
      <c r="A3" s="7"/>
      <c r="B3" s="7"/>
      <c r="C3" s="7"/>
      <c r="D3" s="7"/>
      <c r="E3" s="7"/>
    </row>
    <row r="4" spans="1:5" ht="16">
      <c r="A4" s="7" t="s">
        <v>29</v>
      </c>
      <c r="B4" s="21"/>
      <c r="C4" s="24"/>
      <c r="D4" s="21"/>
      <c r="E4" s="21"/>
    </row>
    <row r="5" spans="1:5" ht="16">
      <c r="A5" s="7"/>
      <c r="B5" s="7"/>
      <c r="C5" s="7"/>
      <c r="D5" s="7"/>
      <c r="E5" s="7"/>
    </row>
    <row r="6" spans="1:5" ht="16">
      <c r="A6" s="21" t="s">
        <v>28</v>
      </c>
      <c r="B6" s="23"/>
      <c r="C6" s="22">
        <f>F29</f>
        <v>0</v>
      </c>
      <c r="D6" s="7"/>
      <c r="E6" s="7"/>
    </row>
    <row r="7" spans="1:5" ht="16">
      <c r="B7" s="21"/>
      <c r="C7" s="21"/>
      <c r="D7" s="21"/>
      <c r="E7" s="21"/>
    </row>
    <row r="8" spans="1:5" ht="16">
      <c r="A8" s="7" t="s">
        <v>27</v>
      </c>
      <c r="B8" s="7"/>
      <c r="C8" s="69" t="s">
        <v>26</v>
      </c>
      <c r="D8" s="7"/>
      <c r="E8" s="7"/>
    </row>
    <row r="9" spans="1:5" ht="16">
      <c r="A9" s="7"/>
      <c r="B9" s="7"/>
      <c r="C9" s="70"/>
      <c r="D9" s="7"/>
      <c r="E9" s="7"/>
    </row>
    <row r="10" spans="1:5" ht="16">
      <c r="A10" s="7"/>
      <c r="B10" s="7"/>
      <c r="C10" s="70"/>
      <c r="D10" s="7"/>
      <c r="E10" s="7"/>
    </row>
    <row r="11" spans="1:5" ht="16">
      <c r="A11" s="7"/>
      <c r="B11" s="7"/>
      <c r="C11" s="70"/>
      <c r="D11" s="7"/>
      <c r="E11" s="7"/>
    </row>
    <row r="12" spans="1:5" ht="16">
      <c r="A12" s="7"/>
      <c r="B12" s="7"/>
      <c r="C12" s="70"/>
      <c r="D12" s="7"/>
      <c r="E12" s="7"/>
    </row>
    <row r="13" spans="1:5" ht="16">
      <c r="A13" s="7"/>
      <c r="B13" s="7"/>
      <c r="C13" s="71"/>
      <c r="D13" s="7"/>
      <c r="E13" s="7"/>
    </row>
    <row r="14" spans="1:5" ht="16">
      <c r="A14" s="7"/>
      <c r="B14" s="7"/>
      <c r="C14" s="7"/>
      <c r="D14" s="7"/>
      <c r="E14" s="7"/>
    </row>
    <row r="15" spans="1:5" ht="16">
      <c r="A15" s="20" t="s">
        <v>25</v>
      </c>
      <c r="B15" s="19"/>
      <c r="C15" s="19"/>
      <c r="D15" s="19"/>
      <c r="E15" s="18"/>
    </row>
    <row r="16" spans="1:5" ht="16">
      <c r="A16" s="17"/>
      <c r="B16" s="16"/>
      <c r="C16" s="16"/>
      <c r="D16" s="16"/>
      <c r="E16" s="16"/>
    </row>
    <row r="17" spans="1:7" ht="16">
      <c r="A17" s="72" t="s">
        <v>24</v>
      </c>
      <c r="B17" s="73"/>
      <c r="C17" s="73"/>
      <c r="D17" s="73"/>
      <c r="E17" s="74"/>
    </row>
    <row r="18" spans="1:7" ht="16">
      <c r="A18" s="29"/>
      <c r="B18" s="29"/>
      <c r="C18" s="29"/>
      <c r="D18" s="29"/>
      <c r="E18" s="29"/>
    </row>
    <row r="19" spans="1:7" ht="16">
      <c r="A19" s="7"/>
      <c r="B19" s="7"/>
      <c r="C19" s="7"/>
      <c r="D19" s="7"/>
      <c r="E19" s="7"/>
    </row>
    <row r="20" spans="1:7" ht="16">
      <c r="A20" s="15"/>
      <c r="C20" s="14" t="s">
        <v>23</v>
      </c>
      <c r="D20" s="7"/>
      <c r="E20" s="7"/>
    </row>
    <row r="21" spans="1:7" ht="16">
      <c r="A21" s="7"/>
      <c r="C21" s="7" t="s">
        <v>53</v>
      </c>
      <c r="D21" s="6" t="s">
        <v>9</v>
      </c>
      <c r="E21" s="6" t="s">
        <v>8</v>
      </c>
      <c r="F21" s="6" t="s">
        <v>7</v>
      </c>
      <c r="G21" s="6" t="s">
        <v>6</v>
      </c>
    </row>
    <row r="22" spans="1:7" ht="16">
      <c r="A22" s="7"/>
      <c r="C22" s="7"/>
      <c r="D22" s="4" t="s">
        <v>5</v>
      </c>
      <c r="E22" s="4">
        <v>10</v>
      </c>
      <c r="F22" s="4"/>
      <c r="G22" s="5"/>
    </row>
    <row r="23" spans="1:7" ht="16">
      <c r="A23" s="13"/>
      <c r="C23" s="7" t="s">
        <v>22</v>
      </c>
      <c r="D23" s="4" t="s">
        <v>51</v>
      </c>
      <c r="E23" s="4">
        <v>5</v>
      </c>
      <c r="F23" s="4"/>
      <c r="G23" s="5"/>
    </row>
    <row r="24" spans="1:7" ht="31">
      <c r="A24" s="7"/>
      <c r="C24" s="7" t="s">
        <v>21</v>
      </c>
      <c r="D24" s="4" t="s">
        <v>4</v>
      </c>
      <c r="E24" s="4">
        <v>20</v>
      </c>
      <c r="F24" s="4"/>
      <c r="G24" s="5"/>
    </row>
    <row r="25" spans="1:7" ht="16">
      <c r="A25" s="7"/>
      <c r="C25" s="7" t="s">
        <v>20</v>
      </c>
      <c r="D25" s="4" t="s">
        <v>3</v>
      </c>
      <c r="E25" s="4">
        <v>5</v>
      </c>
      <c r="F25" s="4"/>
      <c r="G25" s="5"/>
    </row>
    <row r="26" spans="1:7" ht="16">
      <c r="A26" s="7"/>
      <c r="C26" s="7"/>
      <c r="D26" s="4" t="s">
        <v>2</v>
      </c>
      <c r="E26" s="4">
        <v>5</v>
      </c>
      <c r="F26" s="4"/>
      <c r="G26" s="5"/>
    </row>
    <row r="27" spans="1:7" ht="16">
      <c r="A27" s="12"/>
      <c r="C27" s="7" t="s">
        <v>19</v>
      </c>
      <c r="D27" s="4" t="s">
        <v>52</v>
      </c>
      <c r="E27" s="4">
        <v>5</v>
      </c>
      <c r="F27" s="4"/>
      <c r="G27" s="5"/>
    </row>
    <row r="28" spans="1:7" ht="76">
      <c r="A28" s="7"/>
      <c r="C28" s="7" t="s">
        <v>18</v>
      </c>
      <c r="D28" s="4" t="s">
        <v>1</v>
      </c>
      <c r="E28" s="4">
        <v>0</v>
      </c>
      <c r="F28" s="4"/>
      <c r="G28" s="5"/>
    </row>
    <row r="29" spans="1:7" ht="16">
      <c r="A29" s="7"/>
      <c r="C29" s="7"/>
      <c r="D29" s="4" t="s">
        <v>0</v>
      </c>
      <c r="E29" s="3">
        <f>SUM(E22:E28)</f>
        <v>50</v>
      </c>
      <c r="F29" s="3">
        <f>SUM(F22:F28)</f>
        <v>0</v>
      </c>
      <c r="G29" s="2"/>
    </row>
    <row r="30" spans="1:7" ht="16">
      <c r="A30" s="11"/>
      <c r="C30" s="7" t="s">
        <v>17</v>
      </c>
      <c r="D30" s="7"/>
      <c r="E30" s="7"/>
    </row>
    <row r="31" spans="1:7" ht="16">
      <c r="A31" s="7"/>
      <c r="C31" s="7" t="s">
        <v>16</v>
      </c>
      <c r="D31" s="7"/>
      <c r="E31" s="7"/>
    </row>
    <row r="32" spans="1:7" ht="16">
      <c r="A32" s="7"/>
      <c r="C32" s="7"/>
      <c r="D32" s="7"/>
      <c r="E32" s="7"/>
    </row>
    <row r="33" spans="1:5" ht="16">
      <c r="A33" s="7"/>
      <c r="C33" s="7"/>
      <c r="D33" s="7"/>
      <c r="E33" s="7"/>
    </row>
    <row r="34" spans="1:5" ht="16">
      <c r="A34" s="10"/>
      <c r="C34" s="7" t="s">
        <v>15</v>
      </c>
      <c r="D34" s="7"/>
      <c r="E34" s="7"/>
    </row>
    <row r="35" spans="1:5" ht="16">
      <c r="A35" s="8"/>
      <c r="C35" s="7" t="s">
        <v>14</v>
      </c>
      <c r="D35" s="7"/>
      <c r="E35" s="7"/>
    </row>
    <row r="36" spans="1:5" ht="16">
      <c r="A36" s="7"/>
      <c r="C36" s="7"/>
      <c r="D36" s="7"/>
      <c r="E36" s="7"/>
    </row>
    <row r="37" spans="1:5" ht="16">
      <c r="A37" s="9"/>
      <c r="C37" s="7" t="s">
        <v>13</v>
      </c>
      <c r="D37" s="7"/>
      <c r="E37" s="7"/>
    </row>
    <row r="38" spans="1:5" ht="16">
      <c r="A38" s="8"/>
      <c r="C38" s="7" t="s">
        <v>12</v>
      </c>
      <c r="D38" s="7"/>
      <c r="E38" s="7"/>
    </row>
    <row r="39" spans="1:5" ht="16">
      <c r="A39" s="7"/>
      <c r="C39" s="7"/>
      <c r="D39" s="7"/>
      <c r="E39" s="7"/>
    </row>
    <row r="40" spans="1:5" ht="16">
      <c r="C40" s="1"/>
    </row>
    <row r="41" spans="1:5" ht="16">
      <c r="C41" s="1"/>
    </row>
    <row r="42" spans="1:5" ht="16">
      <c r="C42" s="1"/>
    </row>
    <row r="43" spans="1:5" ht="16">
      <c r="C43" s="1"/>
    </row>
    <row r="44" spans="1:5" ht="16">
      <c r="C44" s="1"/>
    </row>
    <row r="45" spans="1:5" ht="16">
      <c r="C45" s="1"/>
    </row>
    <row r="46" spans="1:5" ht="16">
      <c r="C46" s="1"/>
    </row>
    <row r="47" spans="1:5" ht="16">
      <c r="C47" s="1"/>
    </row>
    <row r="48" spans="1:5" ht="16">
      <c r="C48" s="1"/>
    </row>
  </sheetData>
  <mergeCells count="3">
    <mergeCell ref="C8:C13"/>
    <mergeCell ref="A17:E17"/>
    <mergeCell ref="A1:E1"/>
  </mergeCells>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C292D9-7F21-4257-A6F4-0576EF111D95}">
  <sheetPr codeName="Sheet2"/>
  <dimension ref="B2:Q59"/>
  <sheetViews>
    <sheetView tabSelected="1" zoomScaleNormal="100" workbookViewId="0">
      <selection activeCell="N20" sqref="N20"/>
    </sheetView>
  </sheetViews>
  <sheetFormatPr baseColWidth="10" defaultColWidth="9.25" defaultRowHeight="11"/>
  <cols>
    <col min="1" max="1" width="14.75" style="26" customWidth="1"/>
    <col min="2" max="2" width="23.5" style="26" customWidth="1"/>
    <col min="3" max="3" width="20" style="26" customWidth="1"/>
    <col min="4" max="4" width="19.75" style="26" customWidth="1"/>
    <col min="5" max="5" width="25.5" style="26" customWidth="1"/>
    <col min="6" max="6" width="21" style="26" customWidth="1"/>
    <col min="7" max="7" width="13.5" style="26" customWidth="1"/>
    <col min="8" max="8" width="28.75" style="26" customWidth="1"/>
    <col min="9" max="9" width="43.5" style="26" bestFit="1" customWidth="1"/>
    <col min="10" max="10" width="27.75" style="26" customWidth="1"/>
    <col min="11" max="11" width="23.75" style="26" customWidth="1"/>
    <col min="12" max="12" width="27" style="26" bestFit="1" customWidth="1"/>
    <col min="13" max="13" width="15.25" style="26" customWidth="1"/>
    <col min="14" max="14" width="5.25" style="26" customWidth="1"/>
    <col min="15" max="15" width="13.5" style="26" customWidth="1"/>
    <col min="16" max="16" width="13.75" style="26" customWidth="1"/>
    <col min="17" max="16384" width="9.25" style="26"/>
  </cols>
  <sheetData>
    <row r="2" spans="2:17" ht="12" thickBot="1"/>
    <row r="3" spans="2:17" ht="26" customHeight="1" thickBot="1">
      <c r="B3" s="84" t="s">
        <v>47</v>
      </c>
      <c r="C3" s="85"/>
      <c r="D3" s="85"/>
      <c r="E3" s="85"/>
      <c r="F3" s="86"/>
      <c r="H3" s="61" t="s">
        <v>59</v>
      </c>
      <c r="I3" s="62">
        <v>15</v>
      </c>
    </row>
    <row r="4" spans="2:17" ht="16" customHeight="1" thickBot="1">
      <c r="B4" s="81"/>
      <c r="C4" s="82"/>
      <c r="D4" s="83"/>
      <c r="E4" s="49" t="s">
        <v>38</v>
      </c>
      <c r="F4" s="50" t="s">
        <v>37</v>
      </c>
      <c r="H4" s="61" t="s">
        <v>61</v>
      </c>
      <c r="I4" s="63">
        <v>1</v>
      </c>
    </row>
    <row r="5" spans="2:17" ht="15" thickBot="1">
      <c r="B5" s="78" t="s">
        <v>46</v>
      </c>
      <c r="C5" s="79"/>
      <c r="D5" s="80"/>
      <c r="E5" s="51" t="str">
        <f>IF(J15&lt;J11, "ACCEPT", "REJECT")</f>
        <v>REJECT</v>
      </c>
      <c r="F5" s="51" t="str">
        <f>IF(K15&lt;K11, "ACCEPT", "REJECT")</f>
        <v>ACCEPT</v>
      </c>
      <c r="H5" s="61" t="s">
        <v>60</v>
      </c>
      <c r="I5" s="60">
        <f>I4*I3</f>
        <v>15</v>
      </c>
    </row>
    <row r="6" spans="2:17" ht="14" thickBot="1">
      <c r="B6" s="78" t="s">
        <v>10</v>
      </c>
      <c r="C6" s="79"/>
      <c r="D6" s="80"/>
      <c r="E6" s="51" t="str">
        <f>IF(J17&gt;J12, "ACCEPT", "REJECT")</f>
        <v>ACCEPT</v>
      </c>
      <c r="F6" s="51" t="str">
        <f>IF(K17&gt;K12, "ACCEPT", "REJECT")</f>
        <v>ACCEPT</v>
      </c>
    </row>
    <row r="7" spans="2:17" ht="14" thickBot="1">
      <c r="B7" s="78" t="s">
        <v>11</v>
      </c>
      <c r="C7" s="79"/>
      <c r="D7" s="80"/>
      <c r="E7" s="51" t="str">
        <f>IF(J13&gt;0, "ACCEPT", "REJECT")</f>
        <v>ACCEPT</v>
      </c>
      <c r="F7" s="51" t="str">
        <f>IF(K13&gt;0, "ACCEPT", "REJECT")</f>
        <v>ACCEPT</v>
      </c>
    </row>
    <row r="8" spans="2:17" ht="12" thickBot="1">
      <c r="N8" s="89" t="s">
        <v>58</v>
      </c>
      <c r="O8" s="89"/>
      <c r="P8" s="89"/>
      <c r="Q8" s="89"/>
    </row>
    <row r="9" spans="2:17" ht="15" customHeight="1" thickBot="1">
      <c r="B9" s="84" t="s">
        <v>48</v>
      </c>
      <c r="C9" s="85"/>
      <c r="D9" s="85"/>
      <c r="E9" s="85"/>
      <c r="F9" s="86"/>
      <c r="H9" s="90" t="s">
        <v>57</v>
      </c>
      <c r="I9" s="90"/>
      <c r="J9" s="91" t="s">
        <v>38</v>
      </c>
      <c r="K9" s="92" t="s">
        <v>37</v>
      </c>
      <c r="N9" s="89"/>
      <c r="O9" s="89"/>
      <c r="P9" s="89"/>
      <c r="Q9" s="89"/>
    </row>
    <row r="10" spans="2:17" ht="14" customHeight="1" thickBot="1">
      <c r="B10" s="81"/>
      <c r="C10" s="82"/>
      <c r="D10" s="83"/>
      <c r="E10" s="49" t="s">
        <v>38</v>
      </c>
      <c r="F10" s="50" t="s">
        <v>37</v>
      </c>
      <c r="H10" s="90"/>
      <c r="I10" s="90"/>
      <c r="J10" s="91"/>
      <c r="K10" s="92"/>
      <c r="N10" s="89"/>
      <c r="O10" s="89"/>
      <c r="P10" s="89"/>
      <c r="Q10" s="89"/>
    </row>
    <row r="11" spans="2:17" ht="14" thickBot="1">
      <c r="B11" s="78" t="s">
        <v>46</v>
      </c>
      <c r="C11" s="79"/>
      <c r="D11" s="80"/>
      <c r="E11" s="64" t="str">
        <f>IF(AND(J15&lt;J11,J15&lt;K15), "L", "S")</f>
        <v>S</v>
      </c>
      <c r="F11" s="64" t="str">
        <f>IF(AND(K15&lt;K11,K15&lt;L15), "L", "S")</f>
        <v>S</v>
      </c>
      <c r="H11" s="39"/>
      <c r="I11" s="40" t="s">
        <v>50</v>
      </c>
      <c r="J11" s="36">
        <v>5</v>
      </c>
      <c r="K11" s="36">
        <v>5</v>
      </c>
      <c r="N11" s="89"/>
      <c r="O11" s="89"/>
      <c r="P11" s="89"/>
      <c r="Q11" s="89"/>
    </row>
    <row r="12" spans="2:17" ht="14" thickBot="1">
      <c r="B12" s="78" t="s">
        <v>10</v>
      </c>
      <c r="C12" s="79"/>
      <c r="D12" s="80"/>
      <c r="E12" s="64" t="str">
        <f>IF(AND(J17&gt;K17,J17&gt;J12), "L", "S")</f>
        <v>S</v>
      </c>
      <c r="F12" s="64" t="str">
        <f>IF(AND(K17&gt;J17,K17&gt;K12), "S", "L")</f>
        <v>S</v>
      </c>
      <c r="H12" s="39"/>
      <c r="I12" s="40" t="s">
        <v>40</v>
      </c>
      <c r="J12" s="37">
        <f>L12/1000</f>
        <v>0.08</v>
      </c>
      <c r="K12" s="37">
        <f>L12/1000</f>
        <v>0.08</v>
      </c>
      <c r="L12" s="31">
        <v>80</v>
      </c>
    </row>
    <row r="13" spans="2:17" ht="14" thickBot="1">
      <c r="B13" s="78" t="s">
        <v>11</v>
      </c>
      <c r="C13" s="79"/>
      <c r="D13" s="80"/>
      <c r="E13" s="64" t="str">
        <f>IF(AND(J10&gt;K10,J10&gt;0), "L", "S")</f>
        <v>S</v>
      </c>
      <c r="F13" s="64" t="str">
        <f>IF(AND(K10&gt;L10,K10&gt;0), "L", "S")</f>
        <v>S</v>
      </c>
      <c r="H13" s="39"/>
      <c r="I13" s="40" t="s">
        <v>36</v>
      </c>
      <c r="J13" s="55">
        <f>SUM(C21:C36)</f>
        <v>51953.662952364903</v>
      </c>
      <c r="K13" s="55">
        <f>SUM(D21:D36)</f>
        <v>55676.594705462354</v>
      </c>
    </row>
    <row r="14" spans="2:17" ht="14" thickBot="1">
      <c r="H14" s="39"/>
      <c r="I14" s="40" t="s">
        <v>33</v>
      </c>
      <c r="J14" s="38">
        <f>pbp(E21,E22:E36)</f>
        <v>5.5555555555555554</v>
      </c>
      <c r="K14" s="38">
        <f>pbp(F21,F22:F36)</f>
        <v>3.6923076923076925</v>
      </c>
    </row>
    <row r="15" spans="2:17" ht="17" thickBot="1">
      <c r="G15" s="33"/>
      <c r="H15" s="41"/>
      <c r="I15" s="40" t="s">
        <v>32</v>
      </c>
      <c r="J15" s="38">
        <f>pbp(C21,C22:C26)</f>
        <v>7.2963327964615337</v>
      </c>
      <c r="K15" s="38">
        <f>pbp(D21,D22:D26)</f>
        <v>4.7436807459531796</v>
      </c>
    </row>
    <row r="16" spans="2:17" ht="14" thickBot="1">
      <c r="H16" s="39"/>
      <c r="I16" s="40" t="s">
        <v>35</v>
      </c>
      <c r="J16" s="54">
        <f>IRR(E21:E36)</f>
        <v>0.12414829284455298</v>
      </c>
      <c r="K16" s="54">
        <f>IRR(F21:F36)</f>
        <v>0.15656024133499247</v>
      </c>
    </row>
    <row r="17" spans="2:17" ht="14" thickBot="1">
      <c r="H17" s="39"/>
      <c r="I17" s="40" t="s">
        <v>34</v>
      </c>
      <c r="J17" s="54">
        <f>MIRR(E21:E36,J12,J12)</f>
        <v>9.3680431728500491E-2</v>
      </c>
      <c r="K17" s="54">
        <f>MIRR(F21:F36,K12,K12)</f>
        <v>9.6366027428447465E-2</v>
      </c>
    </row>
    <row r="18" spans="2:17" ht="16" thickBot="1">
      <c r="B18" s="87" t="s">
        <v>43</v>
      </c>
      <c r="C18" s="87"/>
      <c r="D18" s="87"/>
      <c r="E18" s="87"/>
      <c r="F18" s="87"/>
      <c r="H18" s="39"/>
      <c r="I18" s="40" t="s">
        <v>49</v>
      </c>
      <c r="J18" s="55">
        <f>J13-K13</f>
        <v>-3722.9317530974513</v>
      </c>
      <c r="K18" s="55"/>
    </row>
    <row r="19" spans="2:17" ht="14" thickBot="1">
      <c r="B19" s="88"/>
      <c r="C19" s="88"/>
      <c r="D19" s="88"/>
      <c r="E19" s="88"/>
      <c r="F19" s="88"/>
      <c r="H19" s="39"/>
      <c r="I19" s="40" t="s">
        <v>31</v>
      </c>
      <c r="J19" s="59">
        <v>7.2533821291283343E-2</v>
      </c>
      <c r="K19" s="34">
        <f>(NPV(J19, E22:E36)+E21)-(NPV(J19,F22:F36)+F21)</f>
        <v>-5.4267002269625664E-7</v>
      </c>
    </row>
    <row r="20" spans="2:17" ht="43" thickBot="1">
      <c r="B20" s="48" t="s">
        <v>39</v>
      </c>
      <c r="C20" s="46" t="s">
        <v>45</v>
      </c>
      <c r="D20" s="47" t="s">
        <v>44</v>
      </c>
      <c r="E20" s="49" t="s">
        <v>38</v>
      </c>
      <c r="F20" s="50" t="s">
        <v>37</v>
      </c>
      <c r="J20" s="35"/>
    </row>
    <row r="21" spans="2:17" ht="14" thickBot="1">
      <c r="B21" s="27">
        <v>0</v>
      </c>
      <c r="C21" s="42">
        <f>IF($I$5&gt;0,E21,"")</f>
        <v>-250000</v>
      </c>
      <c r="D21" s="42">
        <f>IF($I$5&gt;0,F21,"")</f>
        <v>-220000</v>
      </c>
      <c r="E21" s="43">
        <v>-250000</v>
      </c>
      <c r="F21" s="43">
        <v>-220000</v>
      </c>
      <c r="N21" s="26" t="s">
        <v>56</v>
      </c>
    </row>
    <row r="22" spans="2:17" ht="14" thickBot="1">
      <c r="B22" s="27">
        <f>IF($I$5&gt;B21,B21+1,"")</f>
        <v>1</v>
      </c>
      <c r="C22" s="42">
        <f>IF(B22&lt;=$I$5,-PV($J$12,$B22,,E22), "0")</f>
        <v>41666.666666666664</v>
      </c>
      <c r="D22" s="42">
        <f>IF(B22&lt;=$I$5,-PV($J$12,$B22,,F22), "0")</f>
        <v>64814.81481481481</v>
      </c>
      <c r="E22" s="44">
        <v>45000</v>
      </c>
      <c r="F22" s="45">
        <v>70000</v>
      </c>
      <c r="L22" s="89" t="s">
        <v>64</v>
      </c>
      <c r="M22" s="89"/>
      <c r="N22" s="89"/>
      <c r="O22" s="89"/>
      <c r="Q22" s="26" t="s">
        <v>55</v>
      </c>
    </row>
    <row r="23" spans="2:17" ht="14" thickBot="1">
      <c r="B23" s="27">
        <f t="shared" ref="B23:B36" si="0">IF($I$5&gt;B22,B22+1,"")</f>
        <v>2</v>
      </c>
      <c r="C23" s="42">
        <f t="shared" ref="C23:C36" si="1">IF(B23&lt;=$I$5,-PV($J$12,$B23,,E23), "0")</f>
        <v>38580.246913580246</v>
      </c>
      <c r="D23" s="42">
        <f t="shared" ref="D23:D36" si="2">IF(B23&lt;=$I$5,-PV($J$12,$B23,,F23), "0")</f>
        <v>51440.329218106992</v>
      </c>
      <c r="E23" s="44">
        <v>45000</v>
      </c>
      <c r="F23" s="45">
        <v>60000</v>
      </c>
      <c r="L23" s="89"/>
      <c r="M23" s="89"/>
      <c r="N23" s="89"/>
      <c r="O23" s="89"/>
    </row>
    <row r="24" spans="2:17" ht="14" thickBot="1">
      <c r="B24" s="27">
        <f t="shared" si="0"/>
        <v>3</v>
      </c>
      <c r="C24" s="42">
        <f t="shared" si="1"/>
        <v>35722.450845907631</v>
      </c>
      <c r="D24" s="42">
        <f t="shared" si="2"/>
        <v>35722.450845907631</v>
      </c>
      <c r="E24" s="44">
        <v>45000</v>
      </c>
      <c r="F24" s="45">
        <v>45000</v>
      </c>
    </row>
    <row r="25" spans="2:17" ht="14" thickBot="1">
      <c r="B25" s="27">
        <f t="shared" si="0"/>
        <v>4</v>
      </c>
      <c r="C25" s="42">
        <f t="shared" si="1"/>
        <v>33076.343375840399</v>
      </c>
      <c r="D25" s="42">
        <f t="shared" si="2"/>
        <v>47776.940431769464</v>
      </c>
      <c r="E25" s="44">
        <v>45000</v>
      </c>
      <c r="F25" s="45">
        <v>65000</v>
      </c>
    </row>
    <row r="26" spans="2:17" ht="14" thickBot="1">
      <c r="B26" s="27">
        <f t="shared" si="0"/>
        <v>5</v>
      </c>
      <c r="C26" s="42">
        <f t="shared" si="1"/>
        <v>30626.243866518886</v>
      </c>
      <c r="D26" s="42">
        <f t="shared" si="2"/>
        <v>27223.32788135012</v>
      </c>
      <c r="E26" s="44">
        <v>45000</v>
      </c>
      <c r="F26" s="45">
        <v>40000</v>
      </c>
    </row>
    <row r="27" spans="2:17" ht="14" thickBot="1">
      <c r="B27" s="27">
        <f t="shared" si="0"/>
        <v>6</v>
      </c>
      <c r="C27" s="42">
        <f t="shared" si="1"/>
        <v>28357.633209739706</v>
      </c>
      <c r="D27" s="42">
        <f t="shared" si="2"/>
        <v>18905.088806493139</v>
      </c>
      <c r="E27" s="44">
        <v>45000</v>
      </c>
      <c r="F27" s="45">
        <v>30000</v>
      </c>
    </row>
    <row r="28" spans="2:17" ht="14" thickBot="1">
      <c r="B28" s="27">
        <f t="shared" si="0"/>
        <v>7</v>
      </c>
      <c r="C28" s="42">
        <f t="shared" si="1"/>
        <v>26257.067786796022</v>
      </c>
      <c r="D28" s="42">
        <f t="shared" si="2"/>
        <v>11669.807905242676</v>
      </c>
      <c r="E28" s="44">
        <v>45000</v>
      </c>
      <c r="F28" s="45">
        <v>20000</v>
      </c>
    </row>
    <row r="29" spans="2:17" ht="14" thickBot="1">
      <c r="B29" s="27">
        <f t="shared" si="0"/>
        <v>8</v>
      </c>
      <c r="C29" s="42">
        <f t="shared" si="1"/>
        <v>24312.099802588909</v>
      </c>
      <c r="D29" s="42">
        <f t="shared" si="2"/>
        <v>10805.377690039515</v>
      </c>
      <c r="E29" s="44">
        <v>45000</v>
      </c>
      <c r="F29" s="45">
        <v>20000</v>
      </c>
    </row>
    <row r="30" spans="2:17" ht="14" thickBot="1">
      <c r="B30" s="27">
        <f t="shared" si="0"/>
        <v>9</v>
      </c>
      <c r="C30" s="42">
        <f t="shared" si="1"/>
        <v>22511.203520915657</v>
      </c>
      <c r="D30" s="42">
        <f t="shared" si="2"/>
        <v>5002.4896713145899</v>
      </c>
      <c r="E30" s="44">
        <v>45000</v>
      </c>
      <c r="F30" s="45">
        <v>10000</v>
      </c>
    </row>
    <row r="31" spans="2:17" ht="14" thickBot="1">
      <c r="B31" s="27">
        <f t="shared" si="0"/>
        <v>10</v>
      </c>
      <c r="C31" s="42">
        <f t="shared" si="1"/>
        <v>20843.706963810793</v>
      </c>
      <c r="D31" s="42">
        <f t="shared" si="2"/>
        <v>2315.9674404234211</v>
      </c>
      <c r="E31" s="44">
        <v>45000</v>
      </c>
      <c r="F31" s="45">
        <v>5000</v>
      </c>
    </row>
    <row r="32" spans="2:17" ht="14" thickBot="1">
      <c r="B32" s="27">
        <f t="shared" si="0"/>
        <v>11</v>
      </c>
      <c r="C32" s="42">
        <f t="shared" si="1"/>
        <v>0</v>
      </c>
      <c r="D32" s="42">
        <f t="shared" si="2"/>
        <v>0</v>
      </c>
      <c r="E32" s="44">
        <v>0</v>
      </c>
      <c r="F32" s="45">
        <v>0</v>
      </c>
    </row>
    <row r="33" spans="2:14" ht="14" thickBot="1">
      <c r="B33" s="27">
        <f t="shared" si="0"/>
        <v>12</v>
      </c>
      <c r="C33" s="42">
        <f t="shared" si="1"/>
        <v>0</v>
      </c>
      <c r="D33" s="42">
        <f t="shared" si="2"/>
        <v>0</v>
      </c>
      <c r="E33" s="44">
        <v>0</v>
      </c>
      <c r="F33" s="45">
        <v>0</v>
      </c>
    </row>
    <row r="34" spans="2:14" ht="14" thickBot="1">
      <c r="B34" s="27">
        <f t="shared" si="0"/>
        <v>13</v>
      </c>
      <c r="C34" s="42">
        <f t="shared" si="1"/>
        <v>0</v>
      </c>
      <c r="D34" s="42">
        <f t="shared" si="2"/>
        <v>0</v>
      </c>
      <c r="E34" s="44">
        <v>0</v>
      </c>
      <c r="F34" s="45">
        <v>0</v>
      </c>
    </row>
    <row r="35" spans="2:14" ht="14" thickBot="1">
      <c r="B35" s="27">
        <f t="shared" si="0"/>
        <v>14</v>
      </c>
      <c r="C35" s="42">
        <f t="shared" si="1"/>
        <v>0</v>
      </c>
      <c r="D35" s="42">
        <f t="shared" si="2"/>
        <v>0</v>
      </c>
      <c r="E35" s="44">
        <v>0</v>
      </c>
      <c r="F35" s="45">
        <v>0</v>
      </c>
    </row>
    <row r="36" spans="2:14" ht="14" thickBot="1">
      <c r="B36" s="27">
        <f t="shared" si="0"/>
        <v>15</v>
      </c>
      <c r="C36" s="42">
        <f t="shared" si="1"/>
        <v>0</v>
      </c>
      <c r="D36" s="42">
        <f t="shared" si="2"/>
        <v>0</v>
      </c>
      <c r="E36" s="44">
        <v>0</v>
      </c>
      <c r="F36" s="45">
        <v>0</v>
      </c>
    </row>
    <row r="37" spans="2:14" ht="13">
      <c r="C37" s="30"/>
      <c r="D37" s="30"/>
      <c r="E37" s="30"/>
      <c r="F37" s="30"/>
    </row>
    <row r="43" spans="2:14">
      <c r="B43" s="32" t="s">
        <v>54</v>
      </c>
      <c r="C43" s="32"/>
    </row>
    <row r="44" spans="2:14">
      <c r="B44" s="32">
        <v>-250000</v>
      </c>
      <c r="C44" s="32">
        <v>-220000</v>
      </c>
    </row>
    <row r="45" spans="2:14">
      <c r="B45" s="32">
        <v>45000</v>
      </c>
      <c r="C45" s="32">
        <v>70000</v>
      </c>
    </row>
    <row r="46" spans="2:14">
      <c r="B46" s="32">
        <v>45000</v>
      </c>
      <c r="C46" s="32">
        <v>60000</v>
      </c>
    </row>
    <row r="47" spans="2:14">
      <c r="B47" s="32">
        <v>45000</v>
      </c>
      <c r="C47" s="32">
        <v>45000</v>
      </c>
    </row>
    <row r="48" spans="2:14" ht="14">
      <c r="B48" s="32">
        <v>45000</v>
      </c>
      <c r="C48" s="32">
        <v>65000</v>
      </c>
      <c r="G48" s="56"/>
      <c r="H48" s="56"/>
      <c r="I48" s="57"/>
      <c r="J48" s="57"/>
      <c r="K48" s="58"/>
      <c r="L48" s="56"/>
      <c r="M48" s="56"/>
      <c r="N48" s="57"/>
    </row>
    <row r="49" spans="2:14" ht="14">
      <c r="B49" s="32">
        <v>45000</v>
      </c>
      <c r="C49" s="32">
        <v>40000</v>
      </c>
      <c r="G49" s="57"/>
      <c r="H49" s="58"/>
      <c r="I49" s="56"/>
      <c r="J49" s="56"/>
      <c r="K49" s="57"/>
      <c r="L49" s="58"/>
      <c r="M49" s="56"/>
      <c r="N49" s="56"/>
    </row>
    <row r="50" spans="2:14" ht="14">
      <c r="B50" s="32">
        <v>45000</v>
      </c>
      <c r="C50" s="32">
        <v>30000</v>
      </c>
      <c r="G50" s="57"/>
      <c r="H50" s="58"/>
      <c r="I50" s="56"/>
      <c r="J50" s="56"/>
      <c r="K50" s="57"/>
      <c r="L50" s="58"/>
      <c r="M50" s="56"/>
      <c r="N50" s="56"/>
    </row>
    <row r="51" spans="2:14" ht="14">
      <c r="B51" s="32">
        <v>45000</v>
      </c>
      <c r="C51" s="32">
        <v>20000</v>
      </c>
      <c r="G51" s="57"/>
      <c r="H51" s="58"/>
      <c r="I51" s="56"/>
      <c r="J51" s="56"/>
      <c r="K51" s="57"/>
      <c r="L51" s="58"/>
      <c r="M51" s="56"/>
      <c r="N51" s="56"/>
    </row>
    <row r="52" spans="2:14" ht="14">
      <c r="B52" s="32">
        <v>45000</v>
      </c>
      <c r="C52" s="32">
        <v>20000</v>
      </c>
      <c r="G52" s="57"/>
      <c r="H52" s="58"/>
      <c r="I52" s="56"/>
      <c r="J52" s="56"/>
      <c r="K52" s="57"/>
      <c r="L52" s="58"/>
      <c r="M52" s="56"/>
      <c r="N52" s="56"/>
    </row>
    <row r="53" spans="2:14" ht="14">
      <c r="B53" s="32">
        <v>45000</v>
      </c>
      <c r="C53" s="32">
        <v>10000</v>
      </c>
      <c r="G53" s="57"/>
      <c r="H53" s="58"/>
      <c r="I53" s="56"/>
      <c r="J53" s="56"/>
      <c r="K53" s="57"/>
      <c r="L53" s="58"/>
      <c r="M53" s="56"/>
      <c r="N53" s="56"/>
    </row>
    <row r="54" spans="2:14">
      <c r="B54" s="32">
        <v>45000</v>
      </c>
      <c r="C54" s="32">
        <v>5000</v>
      </c>
    </row>
    <row r="55" spans="2:14">
      <c r="B55" s="32">
        <v>0</v>
      </c>
      <c r="C55" s="32">
        <v>0</v>
      </c>
    </row>
    <row r="56" spans="2:14">
      <c r="B56" s="32">
        <v>0</v>
      </c>
      <c r="C56" s="32">
        <v>0</v>
      </c>
    </row>
    <row r="57" spans="2:14">
      <c r="B57" s="32">
        <v>0</v>
      </c>
      <c r="C57" s="32">
        <v>0</v>
      </c>
    </row>
    <row r="58" spans="2:14">
      <c r="B58" s="32">
        <v>0</v>
      </c>
      <c r="C58" s="32">
        <v>0</v>
      </c>
    </row>
    <row r="59" spans="2:14">
      <c r="B59" s="32">
        <v>0</v>
      </c>
      <c r="C59" s="32">
        <v>0</v>
      </c>
    </row>
  </sheetData>
  <mergeCells count="16">
    <mergeCell ref="B18:F19"/>
    <mergeCell ref="L22:O23"/>
    <mergeCell ref="N8:Q11"/>
    <mergeCell ref="H9:I10"/>
    <mergeCell ref="J9:J10"/>
    <mergeCell ref="K9:K10"/>
    <mergeCell ref="B13:D13"/>
    <mergeCell ref="B10:D10"/>
    <mergeCell ref="B11:D11"/>
    <mergeCell ref="B12:D12"/>
    <mergeCell ref="B9:F9"/>
    <mergeCell ref="B7:D7"/>
    <mergeCell ref="B6:D6"/>
    <mergeCell ref="B5:D5"/>
    <mergeCell ref="B4:D4"/>
    <mergeCell ref="B3:F3"/>
  </mergeCells>
  <conditionalFormatting sqref="E5:F7">
    <cfRule type="containsText" dxfId="1" priority="3" operator="containsText" text="ACCEPT">
      <formula>NOT(ISERROR(SEARCH("ACCEPT",E5)))</formula>
    </cfRule>
    <cfRule type="containsText" dxfId="0" priority="4" operator="containsText" text="REJECT">
      <formula>NOT(ISERROR(SEARCH("REJECT",E5)))</formula>
    </cfRule>
  </conditionalFormatting>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5125" r:id="rId4" name="Spinner 5">
              <controlPr defaultSize="0" autoPict="0">
                <anchor moveWithCells="1" sizeWithCells="1">
                  <from>
                    <xdr:col>11</xdr:col>
                    <xdr:colOff>63500</xdr:colOff>
                    <xdr:row>9</xdr:row>
                    <xdr:rowOff>0</xdr:rowOff>
                  </from>
                  <to>
                    <xdr:col>12</xdr:col>
                    <xdr:colOff>165100</xdr:colOff>
                    <xdr:row>15</xdr:row>
                    <xdr:rowOff>25400</xdr:rowOff>
                  </to>
                </anchor>
              </controlPr>
            </control>
          </mc:Choice>
        </mc:AlternateContent>
        <mc:AlternateContent xmlns:mc="http://schemas.openxmlformats.org/markup-compatibility/2006">
          <mc:Choice Requires="x14">
            <control shapeId="5129" r:id="rId5" name="Button 9">
              <controlPr defaultSize="0" print="0" autoFill="0" autoPict="0" macro="[0]!Clear_Cash">
                <anchor moveWithCells="1" sizeWithCells="1">
                  <from>
                    <xdr:col>7</xdr:col>
                    <xdr:colOff>1143000</xdr:colOff>
                    <xdr:row>19</xdr:row>
                    <xdr:rowOff>292100</xdr:rowOff>
                  </from>
                  <to>
                    <xdr:col>9</xdr:col>
                    <xdr:colOff>596900</xdr:colOff>
                    <xdr:row>20</xdr:row>
                    <xdr:rowOff>127000</xdr:rowOff>
                  </to>
                </anchor>
              </controlPr>
            </control>
          </mc:Choice>
        </mc:AlternateContent>
        <mc:AlternateContent xmlns:mc="http://schemas.openxmlformats.org/markup-compatibility/2006">
          <mc:Choice Requires="x14">
            <control shapeId="5130" r:id="rId6" name="Button 10">
              <controlPr defaultSize="0" print="0" autoFill="0" autoPict="0" macro="[0]!Replace_Base">
                <anchor moveWithCells="1" sizeWithCells="1">
                  <from>
                    <xdr:col>7</xdr:col>
                    <xdr:colOff>1155700</xdr:colOff>
                    <xdr:row>22</xdr:row>
                    <xdr:rowOff>76200</xdr:rowOff>
                  </from>
                  <to>
                    <xdr:col>9</xdr:col>
                    <xdr:colOff>609600</xdr:colOff>
                    <xdr:row>24</xdr:row>
                    <xdr:rowOff>101600</xdr:rowOff>
                  </to>
                </anchor>
              </controlPr>
            </control>
          </mc:Choice>
        </mc:AlternateContent>
        <mc:AlternateContent xmlns:mc="http://schemas.openxmlformats.org/markup-compatibility/2006">
          <mc:Choice Requires="x14">
            <control shapeId="5128" r:id="rId7" name="Button 8">
              <controlPr defaultSize="0" print="0" autoFill="0" autoPict="0" macro="[0]!Clear_Cross">
                <anchor moveWithCells="1" sizeWithCells="1">
                  <from>
                    <xdr:col>7</xdr:col>
                    <xdr:colOff>1155700</xdr:colOff>
                    <xdr:row>26</xdr:row>
                    <xdr:rowOff>63500</xdr:rowOff>
                  </from>
                  <to>
                    <xdr:col>9</xdr:col>
                    <xdr:colOff>571500</xdr:colOff>
                    <xdr:row>28</xdr:row>
                    <xdr:rowOff>76200</xdr:rowOff>
                  </to>
                </anchor>
              </controlPr>
            </control>
          </mc:Choice>
        </mc:AlternateContent>
        <mc:AlternateContent xmlns:mc="http://schemas.openxmlformats.org/markup-compatibility/2006">
          <mc:Choice Requires="x14">
            <control shapeId="5127" r:id="rId8" name="Button 7">
              <controlPr defaultSize="0" print="0" autoFill="0" autoPict="0" macro="[0]!Crossover_Rate">
                <anchor moveWithCells="1" sizeWithCells="1">
                  <from>
                    <xdr:col>7</xdr:col>
                    <xdr:colOff>1054100</xdr:colOff>
                    <xdr:row>30</xdr:row>
                    <xdr:rowOff>0</xdr:rowOff>
                  </from>
                  <to>
                    <xdr:col>9</xdr:col>
                    <xdr:colOff>647700</xdr:colOff>
                    <xdr:row>32</xdr:row>
                    <xdr:rowOff>50800</xdr:rowOff>
                  </to>
                </anchor>
              </controlPr>
            </control>
          </mc:Choice>
        </mc:AlternateContent>
        <mc:AlternateContent xmlns:mc="http://schemas.openxmlformats.org/markup-compatibility/2006">
          <mc:Choice Requires="x14">
            <control shapeId="5126" r:id="rId9" name="Button 6">
              <controlPr defaultSize="0" print="0" autoFill="0" autoPict="0" macro="[0]!Discount_Rate">
                <anchor moveWithCells="1" sizeWithCells="1">
                  <from>
                    <xdr:col>7</xdr:col>
                    <xdr:colOff>1092200</xdr:colOff>
                    <xdr:row>33</xdr:row>
                    <xdr:rowOff>165100</xdr:rowOff>
                  </from>
                  <to>
                    <xdr:col>9</xdr:col>
                    <xdr:colOff>673100</xdr:colOff>
                    <xdr:row>36</xdr:row>
                    <xdr:rowOff>12700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7D333-7922-413F-BB4B-7E7A77DB84D7}">
  <sheetPr codeName="Sheet3"/>
  <dimension ref="A1:G65"/>
  <sheetViews>
    <sheetView zoomScaleNormal="140" workbookViewId="0">
      <selection activeCell="D10" sqref="D10"/>
    </sheetView>
  </sheetViews>
  <sheetFormatPr baseColWidth="10" defaultColWidth="9.25" defaultRowHeight="11"/>
  <cols>
    <col min="1" max="1" width="21.25" style="25" customWidth="1"/>
    <col min="2" max="2" width="23.25" style="25" customWidth="1"/>
    <col min="3" max="3" width="21.25" style="25" customWidth="1"/>
    <col min="4" max="4" width="17" style="52" customWidth="1"/>
    <col min="5" max="5" width="18.25" style="28" customWidth="1"/>
    <col min="6" max="6" width="52.25" style="28" customWidth="1"/>
    <col min="7" max="7" width="73.75" style="28" customWidth="1"/>
    <col min="8" max="16384" width="9.25" style="25"/>
  </cols>
  <sheetData>
    <row r="1" spans="1:7" ht="65" customHeight="1" thickBot="1">
      <c r="A1" s="95" t="s">
        <v>63</v>
      </c>
      <c r="B1" s="95"/>
      <c r="C1" s="95"/>
      <c r="D1" s="95"/>
      <c r="E1" s="95"/>
      <c r="F1" s="95"/>
      <c r="G1" s="95"/>
    </row>
    <row r="2" spans="1:7" ht="70" customHeight="1" thickBot="1">
      <c r="A2" s="94" t="s">
        <v>62</v>
      </c>
      <c r="B2" s="94"/>
      <c r="C2" s="94"/>
      <c r="D2" s="94"/>
      <c r="E2" s="94"/>
    </row>
    <row r="3" spans="1:7" ht="14" thickBot="1">
      <c r="B3" s="97" t="s">
        <v>41</v>
      </c>
      <c r="C3" s="97"/>
    </row>
    <row r="4" spans="1:7" ht="13" customHeight="1" thickBot="1">
      <c r="A4" s="93" t="s">
        <v>42</v>
      </c>
      <c r="B4" s="91" t="s">
        <v>38</v>
      </c>
      <c r="C4" s="92" t="s">
        <v>37</v>
      </c>
      <c r="D4" s="96"/>
    </row>
    <row r="5" spans="1:7" ht="14" customHeight="1" thickBot="1">
      <c r="A5" s="93"/>
      <c r="B5" s="91"/>
      <c r="C5" s="92"/>
      <c r="D5" s="96"/>
    </row>
    <row r="6" spans="1:7" ht="14" thickBot="1">
      <c r="A6" s="67">
        <v>0</v>
      </c>
      <c r="B6" s="66">
        <f>NPV($A6,'Capital Budgeting'!$E$22:$E$36)+'Capital Budgeting'!$E$21</f>
        <v>200000</v>
      </c>
      <c r="C6" s="66">
        <f>NPV($A6,'Capital Budgeting'!F$22:F$36)+'Capital Budgeting'!F$21</f>
        <v>145000</v>
      </c>
      <c r="D6" s="65"/>
    </row>
    <row r="7" spans="1:7" ht="14" thickBot="1">
      <c r="A7" s="68">
        <v>5.0000000000000001E-3</v>
      </c>
      <c r="B7" s="66">
        <f>NPV($A7,'Capital Budgeting'!$E$22:$E$36)+'Capital Budgeting'!$E$21</f>
        <v>187868.53373538138</v>
      </c>
      <c r="C7" s="66">
        <f>NPV($A7,'Capital Budgeting'!F$22:F$36)+'Capital Budgeting'!F$21</f>
        <v>138083.64681282797</v>
      </c>
      <c r="D7" s="65"/>
      <c r="F7" s="53"/>
    </row>
    <row r="8" spans="1:7" ht="14" thickBot="1">
      <c r="A8" s="68">
        <f>A7+0.005</f>
        <v>0.01</v>
      </c>
      <c r="B8" s="66">
        <f>NPV($A8,'Capital Budgeting'!$E$22:$E$36)+'Capital Budgeting'!$E$21</f>
        <v>176208.70388157526</v>
      </c>
      <c r="C8" s="66">
        <f>NPV($A8,'Capital Budgeting'!F$22:F$36)+'Capital Budgeting'!F$21</f>
        <v>131378.81582716084</v>
      </c>
      <c r="D8" s="65"/>
      <c r="F8" s="53"/>
      <c r="G8" s="25"/>
    </row>
    <row r="9" spans="1:7" ht="14" thickBot="1">
      <c r="A9" s="68">
        <f t="shared" ref="A9:A56" si="0">A8+0.005</f>
        <v>1.4999999999999999E-2</v>
      </c>
      <c r="B9" s="66">
        <f>NPV($A9,'Capital Budgeting'!$E$22:$E$36)+'Capital Budgeting'!$E$21</f>
        <v>164998.30483344977</v>
      </c>
      <c r="C9" s="66">
        <f>NPV($A9,'Capital Budgeting'!F$22:F$36)+'Capital Budgeting'!F$21</f>
        <v>124877.15748872363</v>
      </c>
      <c r="D9" s="65"/>
      <c r="F9" s="53"/>
      <c r="G9" s="25"/>
    </row>
    <row r="10" spans="1:7" ht="14" thickBot="1">
      <c r="A10" s="68">
        <f t="shared" si="0"/>
        <v>0.02</v>
      </c>
      <c r="B10" s="66">
        <f>NPV($A10,'Capital Budgeting'!$E$22:$E$36)+'Capital Budgeting'!$E$21</f>
        <v>154216.32528090058</v>
      </c>
      <c r="C10" s="66">
        <f>NPV($A10,'Capital Budgeting'!F$22:F$36)+'Capital Budgeting'!F$21</f>
        <v>118570.71461397689</v>
      </c>
      <c r="D10" s="65"/>
      <c r="F10" s="53"/>
      <c r="G10" s="25"/>
    </row>
    <row r="11" spans="1:7" ht="14" thickBot="1">
      <c r="A11" s="68">
        <f t="shared" si="0"/>
        <v>2.5000000000000001E-2</v>
      </c>
      <c r="B11" s="66">
        <f>NPV($A11,'Capital Budgeting'!$E$22:$E$36)+'Capital Budgeting'!$E$21</f>
        <v>143842.87689369218</v>
      </c>
      <c r="C11" s="66">
        <f>NPV($A11,'Capital Budgeting'!F$22:F$36)+'Capital Budgeting'!F$21</f>
        <v>112451.90132920997</v>
      </c>
      <c r="D11" s="65"/>
      <c r="F11" s="53"/>
      <c r="G11" s="25"/>
    </row>
    <row r="12" spans="1:7" ht="14" thickBot="1">
      <c r="A12" s="68">
        <f t="shared" si="0"/>
        <v>3.0000000000000002E-2</v>
      </c>
      <c r="B12" s="66">
        <f>NPV($A12,'Capital Budgeting'!$E$22:$E$36)+'Capital Budgeting'!$E$21</f>
        <v>133859.1276549123</v>
      </c>
      <c r="C12" s="66">
        <f>NPV($A12,'Capital Budgeting'!F$22:F$36)+'Capital Budgeting'!F$21</f>
        <v>106513.48326892272</v>
      </c>
      <c r="D12" s="65"/>
      <c r="F12" s="53"/>
      <c r="G12" s="25"/>
    </row>
    <row r="13" spans="1:7" ht="14" thickBot="1">
      <c r="A13" s="68">
        <f t="shared" si="0"/>
        <v>3.5000000000000003E-2</v>
      </c>
      <c r="B13" s="66">
        <f>NPV($A13,'Capital Budgeting'!$E$22:$E$36)+'Capital Budgeting'!$E$21</f>
        <v>124247.23951600812</v>
      </c>
      <c r="C13" s="66">
        <f>NPV($A13,'Capital Budgeting'!F$22:F$36)+'Capital Budgeting'!F$21</f>
        <v>100748.5589510182</v>
      </c>
      <c r="D13" s="65"/>
      <c r="F13" s="53"/>
      <c r="G13" s="25"/>
    </row>
    <row r="14" spans="1:7" ht="14" thickBot="1">
      <c r="A14" s="68">
        <f t="shared" si="0"/>
        <v>0.04</v>
      </c>
      <c r="B14" s="66">
        <f>NPV($A14,'Capital Budgeting'!$E$22:$E$36)+'Capital Budgeting'!$E$21</f>
        <v>114990.31007097621</v>
      </c>
      <c r="C14" s="66">
        <f>NPV($A14,'Capital Budgeting'!F$22:F$36)+'Capital Budgeting'!F$21</f>
        <v>95150.542252157407</v>
      </c>
      <c r="D14" s="65"/>
      <c r="F14" s="53"/>
      <c r="G14" s="25"/>
    </row>
    <row r="15" spans="1:7" ht="14" thickBot="1">
      <c r="A15" s="68">
        <f t="shared" si="0"/>
        <v>4.4999999999999998E-2</v>
      </c>
      <c r="B15" s="66">
        <f>NPV($A15,'Capital Budgeting'!$E$22:$E$36)+'Capital Budgeting'!$E$21</f>
        <v>106072.3179699576</v>
      </c>
      <c r="C15" s="66">
        <f>NPV($A15,'Capital Budgeting'!F$22:F$36)+'Capital Budgeting'!F$21</f>
        <v>89713.145912049862</v>
      </c>
      <c r="D15" s="65"/>
      <c r="F15" s="53"/>
      <c r="G15" s="25"/>
    </row>
    <row r="16" spans="1:7" ht="14" thickBot="1">
      <c r="A16" s="68">
        <f t="shared" si="0"/>
        <v>4.9999999999999996E-2</v>
      </c>
      <c r="B16" s="66">
        <f>NPV($A16,'Capital Budgeting'!$E$22:$E$36)+'Capital Budgeting'!$E$21</f>
        <v>97478.071813316492</v>
      </c>
      <c r="C16" s="66">
        <f>NPV($A16,'Capital Budgeting'!F$22:F$36)+'Capital Budgeting'!F$21</f>
        <v>84430.366000433511</v>
      </c>
      <c r="D16" s="65"/>
      <c r="F16" s="53"/>
      <c r="G16" s="25"/>
    </row>
    <row r="17" spans="1:7" ht="14" thickBot="1">
      <c r="A17" s="68">
        <f t="shared" si="0"/>
        <v>5.4999999999999993E-2</v>
      </c>
      <c r="B17" s="66">
        <f>NPV($A17,'Capital Budgeting'!$E$22:$E$36)+'Capital Budgeting'!$E$21</f>
        <v>89193.162286503648</v>
      </c>
      <c r="C17" s="66">
        <f>NPV($A17,'Capital Budgeting'!F$22:F$36)+'Capital Budgeting'!F$21</f>
        <v>79296.467285130871</v>
      </c>
      <c r="D17" s="65"/>
      <c r="F17" s="53"/>
      <c r="G17" s="25"/>
    </row>
    <row r="18" spans="1:7" ht="14" thickBot="1">
      <c r="A18" s="68">
        <f t="shared" si="0"/>
        <v>5.9999999999999991E-2</v>
      </c>
      <c r="B18" s="66">
        <f>NPV($A18,'Capital Budgeting'!$E$22:$E$36)+'Capital Budgeting'!$E$21</f>
        <v>81203.917313661252</v>
      </c>
      <c r="C18" s="66">
        <f>NPV($A18,'Capital Budgeting'!F$22:F$36)+'Capital Budgeting'!F$21</f>
        <v>74305.969443827576</v>
      </c>
      <c r="D18" s="65"/>
      <c r="F18" s="53"/>
      <c r="G18" s="25"/>
    </row>
    <row r="19" spans="1:7" ht="14" thickBot="1">
      <c r="A19" s="68">
        <f t="shared" si="0"/>
        <v>6.4999999999999988E-2</v>
      </c>
      <c r="B19" s="66">
        <f>NPV($A19,'Capital Budgeting'!$E$22:$E$36)+'Capital Budgeting'!$E$21</f>
        <v>73497.36002424953</v>
      </c>
      <c r="C19" s="66">
        <f>NPV($A19,'Capital Budgeting'!F$22:F$36)+'Capital Budgeting'!F$21</f>
        <v>69453.634066189697</v>
      </c>
      <c r="D19" s="65"/>
      <c r="F19" s="53"/>
      <c r="G19" s="25"/>
    </row>
    <row r="20" spans="1:7" ht="14" thickBot="1">
      <c r="A20" s="68">
        <f t="shared" si="0"/>
        <v>6.9999999999999993E-2</v>
      </c>
      <c r="B20" s="66">
        <f>NPV($A20,'Capital Budgeting'!$E$22:$E$36)+'Capital Budgeting'!$E$21</f>
        <v>66061.169341967034</v>
      </c>
      <c r="C20" s="66">
        <f>NPV($A20,'Capital Budgeting'!F$22:F$36)+'Capital Budgeting'!F$21</f>
        <v>64734.452396583511</v>
      </c>
      <c r="D20" s="65"/>
      <c r="F20" s="53"/>
      <c r="G20" s="25"/>
    </row>
    <row r="21" spans="1:7" ht="14" thickBot="1">
      <c r="A21" s="68">
        <f t="shared" si="0"/>
        <v>7.4999999999999997E-2</v>
      </c>
      <c r="B21" s="66">
        <f>NPV($A21,'Capital Budgeting'!$E$22:$E$36)+'Capital Budgeting'!$E$21</f>
        <v>58883.643019121548</v>
      </c>
      <c r="C21" s="66">
        <f>NPV($A21,'Capital Budgeting'!F$22:F$36)+'Capital Budgeting'!F$21</f>
        <v>60143.633771068009</v>
      </c>
      <c r="D21" s="65"/>
      <c r="F21" s="53"/>
      <c r="G21" s="25"/>
    </row>
    <row r="22" spans="1:7" ht="14" thickBot="1">
      <c r="A22" s="68">
        <f t="shared" si="0"/>
        <v>0.08</v>
      </c>
      <c r="B22" s="66">
        <f>NPV($A22,'Capital Budgeting'!$E$22:$E$36)+'Capital Budgeting'!$E$21</f>
        <v>51953.662952364888</v>
      </c>
      <c r="C22" s="66">
        <f>NPV($A22,'Capital Budgeting'!F$22:F$36)+'Capital Budgeting'!F$21</f>
        <v>55676.594705462339</v>
      </c>
      <c r="D22" s="65"/>
      <c r="F22" s="53"/>
      <c r="G22" s="25"/>
    </row>
    <row r="23" spans="1:7" ht="14" thickBot="1">
      <c r="A23" s="68">
        <f t="shared" si="0"/>
        <v>8.5000000000000006E-2</v>
      </c>
      <c r="B23" s="66">
        <f>NPV($A23,'Capital Budgeting'!$E$22:$E$36)+'Capital Budgeting'!$E$21</f>
        <v>45260.662627526035</v>
      </c>
      <c r="C23" s="66">
        <f>NPV($A23,'Capital Budgeting'!F$22:F$36)+'Capital Budgeting'!F$21</f>
        <v>51328.948594214104</v>
      </c>
      <c r="D23" s="65"/>
      <c r="F23" s="53"/>
      <c r="G23" s="25"/>
    </row>
    <row r="24" spans="1:7" ht="14" thickBot="1">
      <c r="A24" s="68">
        <f t="shared" si="0"/>
        <v>9.0000000000000011E-2</v>
      </c>
      <c r="B24" s="66">
        <f>NPV($A24,'Capital Budgeting'!$E$22:$E$36)+'Capital Budgeting'!$E$21</f>
        <v>38794.59655215533</v>
      </c>
      <c r="C24" s="66">
        <f>NPV($A24,'Capital Budgeting'!F$22:F$36)+'Capital Budgeting'!F$21</f>
        <v>47096.495982491178</v>
      </c>
      <c r="D24" s="65"/>
      <c r="F24" s="53"/>
      <c r="G24" s="25"/>
    </row>
    <row r="25" spans="1:7" ht="14" thickBot="1">
      <c r="A25" s="68">
        <f t="shared" si="0"/>
        <v>9.5000000000000015E-2</v>
      </c>
      <c r="B25" s="66">
        <f>NPV($A25,'Capital Budgeting'!$E$22:$E$36)+'Capital Budgeting'!$E$21</f>
        <v>32545.911544473609</v>
      </c>
      <c r="C25" s="66">
        <f>NPV($A25,'Capital Budgeting'!F$22:F$36)+'Capital Budgeting'!F$21</f>
        <v>42975.21537643444</v>
      </c>
      <c r="D25" s="65"/>
      <c r="F25" s="53"/>
      <c r="G25" s="25"/>
    </row>
    <row r="26" spans="1:7" ht="14" thickBot="1">
      <c r="A26" s="68">
        <f t="shared" si="0"/>
        <v>0.10000000000000002</v>
      </c>
      <c r="B26" s="66">
        <f>NPV($A26,'Capital Budgeting'!$E$22:$E$36)+'Capital Budgeting'!$E$21</f>
        <v>26505.519756710622</v>
      </c>
      <c r="C26" s="66">
        <f>NPV($A26,'Capital Budgeting'!F$22:F$36)+'Capital Budgeting'!F$21</f>
        <v>38961.254558829154</v>
      </c>
      <c r="D26" s="65"/>
      <c r="F26" s="53"/>
      <c r="G26" s="25"/>
    </row>
    <row r="27" spans="1:7" ht="14" thickBot="1">
      <c r="A27" s="68">
        <f t="shared" si="0"/>
        <v>0.10500000000000002</v>
      </c>
      <c r="B27" s="66">
        <f>NPV($A27,'Capital Budgeting'!$E$22:$E$36)+'Capital Budgeting'!$E$21</f>
        <v>20664.773319425818</v>
      </c>
      <c r="C27" s="66">
        <f>NPV($A27,'Capital Budgeting'!F$22:F$36)+'Capital Budgeting'!F$21</f>
        <v>35050.922379623778</v>
      </c>
      <c r="D27" s="65"/>
      <c r="F27" s="53"/>
      <c r="G27" s="25"/>
    </row>
    <row r="28" spans="1:7" ht="14" thickBot="1">
      <c r="A28" s="68">
        <f t="shared" si="0"/>
        <v>0.11000000000000003</v>
      </c>
      <c r="B28" s="66">
        <f>NPV($A28,'Capital Budgeting'!$E$22:$E$36)+'Capital Budgeting'!$E$21</f>
        <v>15015.440501354169</v>
      </c>
      <c r="C28" s="66">
        <f>NPV($A28,'Capital Budgeting'!F$22:F$36)+'Capital Budgeting'!F$21</f>
        <v>31240.680992725567</v>
      </c>
      <c r="D28" s="65"/>
      <c r="F28" s="53"/>
      <c r="G28" s="25"/>
    </row>
    <row r="29" spans="1:7" ht="14" thickBot="1">
      <c r="A29" s="68">
        <f t="shared" si="0"/>
        <v>0.11500000000000003</v>
      </c>
      <c r="B29" s="66">
        <f>NPV($A29,'Capital Budgeting'!$E$22:$E$36)+'Capital Budgeting'!$E$21</f>
        <v>9549.6832866851764</v>
      </c>
      <c r="C29" s="66">
        <f>NPV($A29,'Capital Budgeting'!F$22:F$36)+'Capital Budgeting'!F$21</f>
        <v>27527.138512376114</v>
      </c>
      <c r="D29" s="65"/>
      <c r="F29" s="53"/>
      <c r="G29" s="25"/>
    </row>
    <row r="30" spans="1:7" ht="14" thickBot="1">
      <c r="A30" s="68">
        <f t="shared" si="0"/>
        <v>0.12000000000000004</v>
      </c>
      <c r="B30" s="66">
        <f>NPV($A30,'Capital Budgeting'!$E$22:$E$36)+'Capital Budgeting'!$E$21</f>
        <v>4260.0362784888421</v>
      </c>
      <c r="C30" s="66">
        <f>NPV($A30,'Capital Budgeting'!F$22:F$36)+'Capital Budgeting'!F$21</f>
        <v>23907.042064136826</v>
      </c>
      <c r="D30" s="65"/>
      <c r="F30" s="53"/>
      <c r="G30" s="25"/>
    </row>
    <row r="31" spans="1:7" ht="14" thickBot="1">
      <c r="A31" s="68">
        <f t="shared" si="0"/>
        <v>0.12500000000000003</v>
      </c>
      <c r="B31" s="66">
        <f>NPV($A31,'Capital Budgeting'!$E$22:$E$36)+'Capital Budgeting'!$E$21</f>
        <v>-860.61315667795134</v>
      </c>
      <c r="C31" s="66">
        <f>NPV($A31,'Capital Budgeting'!F$22:F$36)+'Capital Budgeting'!F$21</f>
        <v>20377.271207139303</v>
      </c>
      <c r="D31" s="65"/>
      <c r="F31" s="53"/>
      <c r="G31" s="25"/>
    </row>
    <row r="32" spans="1:7" ht="14" thickBot="1">
      <c r="A32" s="68">
        <f t="shared" si="0"/>
        <v>0.13000000000000003</v>
      </c>
      <c r="B32" s="66">
        <f>NPV($A32,'Capital Budgeting'!$E$22:$E$36)+'Capital Budgeting'!$E$21</f>
        <v>-5819.0435821203573</v>
      </c>
      <c r="C32" s="66">
        <f>NPV($A32,'Capital Budgeting'!F$22:F$36)+'Capital Budgeting'!F$21</f>
        <v>16934.831705746532</v>
      </c>
      <c r="D32" s="65"/>
      <c r="F32" s="53"/>
      <c r="G32" s="25"/>
    </row>
    <row r="33" spans="1:7" ht="14" thickBot="1">
      <c r="A33" s="68">
        <f t="shared" si="0"/>
        <v>0.13500000000000004</v>
      </c>
      <c r="B33" s="66">
        <f>NPV($A33,'Capital Budgeting'!$E$22:$E$36)+'Capital Budgeting'!$E$21</f>
        <v>-10621.717096016568</v>
      </c>
      <c r="C33" s="66">
        <f>NPV($A33,'Capital Budgeting'!F$22:F$36)+'Capital Budgeting'!F$21</f>
        <v>13576.849630176526</v>
      </c>
      <c r="D33" s="65"/>
      <c r="F33" s="53"/>
      <c r="G33" s="25"/>
    </row>
    <row r="34" spans="1:7" ht="14" thickBot="1">
      <c r="A34" s="68">
        <f t="shared" si="0"/>
        <v>0.14000000000000004</v>
      </c>
      <c r="B34" s="66">
        <f>NPV($A34,'Capital Budgeting'!$E$22:$E$36)+'Capital Budgeting'!$E$21</f>
        <v>-15274.79591678892</v>
      </c>
      <c r="C34" s="66">
        <f>NPV($A34,'Capital Budgeting'!F$22:F$36)+'Capital Budgeting'!F$21</f>
        <v>10300.565766937245</v>
      </c>
      <c r="D34" s="65"/>
      <c r="F34" s="53"/>
      <c r="G34" s="25"/>
    </row>
    <row r="35" spans="1:7" ht="14" thickBot="1">
      <c r="A35" s="68">
        <f t="shared" si="0"/>
        <v>0.14500000000000005</v>
      </c>
      <c r="B35" s="66">
        <f>NPV($A35,'Capital Budgeting'!$E$22:$E$36)+'Capital Budgeting'!$E$21</f>
        <v>-19784.158012866334</v>
      </c>
      <c r="C35" s="66">
        <f>NPV($A35,'Capital Budgeting'!F$22:F$36)+'Capital Budgeting'!F$21</f>
        <v>7103.3303211370367</v>
      </c>
      <c r="D35" s="65"/>
      <c r="F35" s="53"/>
      <c r="G35" s="25"/>
    </row>
    <row r="36" spans="1:7" ht="14" thickBot="1">
      <c r="A36" s="68">
        <f t="shared" si="0"/>
        <v>0.15000000000000005</v>
      </c>
      <c r="B36" s="66">
        <f>NPV($A36,'Capital Budgeting'!$E$22:$E$36)+'Capital Budgeting'!$E$21</f>
        <v>-24155.411836559797</v>
      </c>
      <c r="C36" s="66">
        <f>NPV($A36,'Capital Budgeting'!F$22:F$36)+'Capital Budgeting'!F$21</f>
        <v>3982.5978938592598</v>
      </c>
      <c r="D36" s="65"/>
      <c r="F36" s="53"/>
      <c r="G36" s="25"/>
    </row>
    <row r="37" spans="1:7" ht="14" thickBot="1">
      <c r="A37" s="68">
        <f t="shared" si="0"/>
        <v>0.15500000000000005</v>
      </c>
      <c r="B37" s="66">
        <f>NPV($A37,'Capital Budgeting'!$E$22:$E$36)+'Capital Budgeting'!$E$21</f>
        <v>-28393.910217755329</v>
      </c>
      <c r="C37" s="66">
        <f>NPV($A37,'Capital Budgeting'!F$22:F$36)+'Capital Budgeting'!F$21</f>
        <v>935.92271885275841</v>
      </c>
      <c r="D37" s="65"/>
      <c r="F37" s="53"/>
      <c r="G37" s="25"/>
    </row>
    <row r="38" spans="1:7" ht="14" thickBot="1">
      <c r="A38" s="68">
        <f t="shared" si="0"/>
        <v>0.16000000000000006</v>
      </c>
      <c r="B38" s="66">
        <f>NPV($A38,'Capital Budgeting'!$E$22:$E$36)+'Capital Budgeting'!$E$21</f>
        <v>-32504.763469413854</v>
      </c>
      <c r="C38" s="66">
        <f>NPV($A38,'Capital Budgeting'!F$22:F$36)+'Capital Budgeting'!F$21</f>
        <v>-2039.0458562416025</v>
      </c>
      <c r="D38" s="65"/>
      <c r="F38" s="53"/>
    </row>
    <row r="39" spans="1:7" ht="14" thickBot="1">
      <c r="A39" s="68">
        <f t="shared" si="0"/>
        <v>0.16500000000000006</v>
      </c>
      <c r="B39" s="66">
        <f>NPV($A39,'Capital Budgeting'!$E$22:$E$36)+'Capital Budgeting'!$E$21</f>
        <v>-36492.851753404248</v>
      </c>
      <c r="C39" s="66">
        <f>NPV($A39,'Capital Budgeting'!F$22:F$36)+'Capital Budgeting'!F$21</f>
        <v>-4944.567657978303</v>
      </c>
      <c r="D39" s="65"/>
      <c r="F39" s="53"/>
    </row>
    <row r="40" spans="1:7" ht="14" thickBot="1">
      <c r="A40" s="68">
        <f t="shared" si="0"/>
        <v>0.17000000000000007</v>
      </c>
      <c r="B40" s="66">
        <f>NPV($A40,'Capital Budgeting'!$E$22:$E$36)+'Capital Budgeting'!$E$21</f>
        <v>-40362.836751992494</v>
      </c>
      <c r="C40" s="66">
        <f>NPV($A40,'Capital Budgeting'!F$22:F$36)+'Capital Budgeting'!F$21</f>
        <v>-7782.8157575153164</v>
      </c>
      <c r="D40" s="65"/>
      <c r="F40" s="53"/>
    </row>
    <row r="41" spans="1:7" ht="14" thickBot="1">
      <c r="A41" s="68">
        <f t="shared" si="0"/>
        <v>0.17500000000000007</v>
      </c>
      <c r="B41" s="66">
        <f>NPV($A41,'Capital Budgeting'!$E$22:$E$36)+'Capital Budgeting'!$E$21</f>
        <v>-44119.172687315004</v>
      </c>
      <c r="C41" s="66">
        <f>NPV($A41,'Capital Budgeting'!F$22:F$36)+'Capital Budgeting'!F$21</f>
        <v>-10555.880335541908</v>
      </c>
      <c r="D41" s="65"/>
      <c r="F41" s="53"/>
    </row>
    <row r="42" spans="1:7" ht="14" thickBot="1">
      <c r="A42" s="68">
        <f t="shared" si="0"/>
        <v>0.18000000000000008</v>
      </c>
      <c r="B42" s="66">
        <f>NPV($A42,'Capital Budgeting'!$E$22:$E$36)+'Capital Budgeting'!$E$21</f>
        <v>-47766.116728401539</v>
      </c>
      <c r="C42" s="66">
        <f>NPV($A42,'Capital Budgeting'!F$22:F$36)+'Capital Budgeting'!F$21</f>
        <v>-13265.772353189415</v>
      </c>
      <c r="D42" s="65"/>
      <c r="F42" s="53"/>
    </row>
    <row r="43" spans="1:7" ht="14" thickBot="1">
      <c r="A43" s="68">
        <f t="shared" si="0"/>
        <v>0.18500000000000008</v>
      </c>
      <c r="B43" s="66">
        <f>NPV($A43,'Capital Budgeting'!$E$22:$E$36)+'Capital Budgeting'!$E$21</f>
        <v>-51307.738822718733</v>
      </c>
      <c r="C43" s="66">
        <f>NPV($A43,'Capital Budgeting'!F$22:F$36)+'Capital Budgeting'!F$21</f>
        <v>-15914.427039681963</v>
      </c>
      <c r="D43" s="65"/>
      <c r="F43" s="53"/>
    </row>
    <row r="44" spans="1:7" ht="14" thickBot="1">
      <c r="A44" s="68">
        <f t="shared" si="0"/>
        <v>0.19000000000000009</v>
      </c>
      <c r="B44" s="66">
        <f>NPV($A44,'Capital Budgeting'!$E$22:$E$36)+'Capital Budgeting'!$E$21</f>
        <v>-54747.930986817257</v>
      </c>
      <c r="C44" s="66">
        <f>NPV($A44,'Capital Budgeting'!F$22:F$36)+'Capital Budgeting'!F$21</f>
        <v>-18503.707206844061</v>
      </c>
      <c r="D44" s="65"/>
      <c r="F44" s="53"/>
    </row>
    <row r="45" spans="1:7" ht="14" thickBot="1">
      <c r="A45" s="68">
        <f t="shared" si="0"/>
        <v>0.19500000000000009</v>
      </c>
      <c r="B45" s="66">
        <f>NPV($A45,'Capital Budgeting'!$E$22:$E$36)+'Capital Budgeting'!$E$21</f>
        <v>-58090.41608841953</v>
      </c>
      <c r="C45" s="66">
        <f>NPV($A45,'Capital Budgeting'!F$22:F$36)+'Capital Budgeting'!F$21</f>
        <v>-21035.406399963889</v>
      </c>
      <c r="D45" s="65"/>
      <c r="F45" s="53"/>
    </row>
    <row r="46" spans="1:7" ht="14" thickBot="1">
      <c r="A46" s="68">
        <f t="shared" si="0"/>
        <v>0.20000000000000009</v>
      </c>
      <c r="B46" s="66">
        <f>NPV($A46,'Capital Budgeting'!$E$22:$E$36)+'Capital Budgeting'!$E$21</f>
        <v>-61338.756150215369</v>
      </c>
      <c r="C46" s="66">
        <f>NPV($A46,'Capital Budgeting'!F$22:F$36)+'Capital Budgeting'!F$21</f>
        <v>-23511.25189395147</v>
      </c>
      <c r="D46" s="65"/>
      <c r="F46" s="53"/>
    </row>
    <row r="47" spans="1:7" ht="14" thickBot="1">
      <c r="A47" s="68">
        <f t="shared" si="0"/>
        <v>0.2050000000000001</v>
      </c>
      <c r="B47" s="66">
        <f>NPV($A47,'Capital Budgeting'!$E$22:$E$36)+'Capital Budgeting'!$E$21</f>
        <v>-64496.360203682678</v>
      </c>
      <c r="C47" s="66">
        <f>NPV($A47,'Capital Budgeting'!F$22:F$36)+'Capital Budgeting'!F$21</f>
        <v>-25932.907543190406</v>
      </c>
      <c r="D47" s="65"/>
      <c r="F47" s="53"/>
    </row>
    <row r="48" spans="1:7" ht="14" thickBot="1">
      <c r="A48" s="68">
        <f t="shared" si="0"/>
        <v>0.2100000000000001</v>
      </c>
      <c r="B48" s="66">
        <f>NPV($A48,'Capital Budgeting'!$E$22:$E$36)+'Capital Budgeting'!$E$21</f>
        <v>-67566.491719459445</v>
      </c>
      <c r="C48" s="66">
        <f>NPV($A48,'Capital Budgeting'!F$22:F$36)+'Capital Budgeting'!F$21</f>
        <v>-28301.97649299234</v>
      </c>
      <c r="D48" s="65"/>
      <c r="F48" s="53"/>
    </row>
    <row r="49" spans="1:7" ht="14" thickBot="1">
      <c r="A49" s="68">
        <f t="shared" si="0"/>
        <v>0.21500000000000011</v>
      </c>
      <c r="B49" s="66">
        <f>NPV($A49,'Capital Budgeting'!$E$22:$E$36)+'Capital Budgeting'!$E$21</f>
        <v>-70552.275639098021</v>
      </c>
      <c r="C49" s="66">
        <f>NPV($A49,'Capital Budgeting'!F$22:F$36)+'Capital Budgeting'!F$21</f>
        <v>-30620.003760089923</v>
      </c>
      <c r="D49" s="65"/>
      <c r="F49" s="53"/>
    </row>
    <row r="50" spans="1:7" ht="14" thickBot="1">
      <c r="A50" s="68">
        <f t="shared" si="0"/>
        <v>0.22000000000000011</v>
      </c>
      <c r="B50" s="66">
        <f>NPV($A50,'Capital Budgeting'!$E$22:$E$36)+'Capital Budgeting'!$E$21</f>
        <v>-73456.705031473626</v>
      </c>
      <c r="C50" s="66">
        <f>NPV($A50,'Capital Budgeting'!F$22:F$36)+'Capital Budgeting'!F$21</f>
        <v>-32888.478689174255</v>
      </c>
      <c r="D50" s="65"/>
      <c r="F50" s="53"/>
    </row>
    <row r="51" spans="1:7" ht="14" thickBot="1">
      <c r="A51" s="68">
        <f t="shared" si="0"/>
        <v>0.22500000000000012</v>
      </c>
      <c r="B51" s="66">
        <f>NPV($A51,'Capital Budgeting'!$E$22:$E$36)+'Capital Budgeting'!$E$21</f>
        <v>-76282.64739565074</v>
      </c>
      <c r="C51" s="66">
        <f>NPV($A51,'Capital Budgeting'!F$22:F$36)+'Capital Budgeting'!F$21</f>
        <v>-35108.837292067357</v>
      </c>
      <c r="D51" s="65"/>
      <c r="F51" s="53"/>
    </row>
    <row r="52" spans="1:7" ht="14" thickBot="1">
      <c r="A52" s="68">
        <f t="shared" si="0"/>
        <v>0.23000000000000012</v>
      </c>
      <c r="B52" s="66">
        <f>NPV($A52,'Capital Budgeting'!$E$22:$E$36)+'Capital Budgeting'!$E$21</f>
        <v>-79032.85063065149</v>
      </c>
      <c r="C52" s="66">
        <f>NPV($A52,'Capital Budgeting'!F$22:F$36)+'Capital Budgeting'!F$21</f>
        <v>-37282.464475745073</v>
      </c>
      <c r="D52" s="65"/>
      <c r="F52" s="53"/>
    </row>
    <row r="53" spans="1:7" ht="14" thickBot="1">
      <c r="A53" s="68">
        <f t="shared" si="0"/>
        <v>0.23500000000000013</v>
      </c>
      <c r="B53" s="66">
        <f>NPV($A53,'Capital Budgeting'!$E$22:$E$36)+'Capital Budgeting'!$E$21</f>
        <v>-81709.948691291444</v>
      </c>
      <c r="C53" s="66">
        <f>NPV($A53,'Capital Budgeting'!F$22:F$36)+'Capital Budgeting'!F$21</f>
        <v>-39410.696165058529</v>
      </c>
      <c r="D53" s="65"/>
      <c r="F53" s="53"/>
    </row>
    <row r="54" spans="1:7" ht="14" thickBot="1">
      <c r="A54" s="68">
        <f t="shared" si="0"/>
        <v>0.24000000000000013</v>
      </c>
      <c r="B54" s="66">
        <f>NPV($A54,'Capital Budgeting'!$E$22:$E$36)+'Capital Budgeting'!$E$21</f>
        <v>-84316.466948066809</v>
      </c>
      <c r="C54" s="66">
        <f>NPV($A54,'Capital Budgeting'!F$22:F$36)+'Capital Budgeting'!F$21</f>
        <v>-41494.82132567378</v>
      </c>
      <c r="D54" s="65"/>
      <c r="F54" s="53"/>
    </row>
    <row r="55" spans="1:7" ht="14" thickBot="1">
      <c r="A55" s="68">
        <f t="shared" si="0"/>
        <v>0.24500000000000013</v>
      </c>
      <c r="B55" s="66">
        <f>NPV($A55,'Capital Budgeting'!$E$22:$E$36)+'Capital Budgeting'!$E$21</f>
        <v>-86854.827267959801</v>
      </c>
      <c r="C55" s="66">
        <f>NPV($A55,'Capital Budgeting'!F$22:F$36)+'Capital Budgeting'!F$21</f>
        <v>-43536.083892426774</v>
      </c>
      <c r="D55" s="65"/>
      <c r="F55" s="53"/>
    </row>
    <row r="56" spans="1:7" ht="14" thickBot="1">
      <c r="A56" s="68">
        <f t="shared" si="0"/>
        <v>0.25000000000000011</v>
      </c>
      <c r="B56" s="66">
        <f>NPV($A56,'Capital Budgeting'!$E$22:$E$36)+'Capital Budgeting'!$E$21</f>
        <v>-89327.352831999975</v>
      </c>
      <c r="C56" s="66">
        <f>NPV($A56,'Capital Budgeting'!F$22:F$36)+'Capital Budgeting'!F$21</f>
        <v>-45535.68460800001</v>
      </c>
      <c r="D56" s="65"/>
      <c r="F56" s="53"/>
    </row>
    <row r="57" spans="1:7">
      <c r="B57" s="28"/>
      <c r="C57" s="28"/>
      <c r="E57" s="25"/>
      <c r="F57" s="25"/>
      <c r="G57" s="25"/>
    </row>
    <row r="58" spans="1:7">
      <c r="B58" s="28"/>
      <c r="C58" s="28"/>
      <c r="E58" s="25"/>
      <c r="F58" s="25"/>
      <c r="G58" s="25"/>
    </row>
    <row r="59" spans="1:7">
      <c r="B59" s="28"/>
      <c r="C59" s="28"/>
      <c r="E59" s="25"/>
      <c r="F59" s="25"/>
      <c r="G59" s="25"/>
    </row>
    <row r="60" spans="1:7">
      <c r="B60" s="28"/>
      <c r="C60" s="28"/>
      <c r="E60" s="25"/>
      <c r="F60" s="25"/>
      <c r="G60" s="25"/>
    </row>
    <row r="61" spans="1:7">
      <c r="B61" s="28"/>
      <c r="C61" s="28"/>
      <c r="E61" s="25"/>
      <c r="F61" s="25"/>
      <c r="G61" s="25"/>
    </row>
    <row r="62" spans="1:7">
      <c r="B62" s="28"/>
      <c r="C62" s="28"/>
      <c r="E62" s="25"/>
      <c r="F62" s="25"/>
      <c r="G62" s="25"/>
    </row>
    <row r="63" spans="1:7">
      <c r="B63" s="28"/>
      <c r="C63" s="28"/>
      <c r="E63" s="25"/>
      <c r="F63" s="25"/>
      <c r="G63" s="25"/>
    </row>
    <row r="64" spans="1:7">
      <c r="B64" s="28"/>
      <c r="C64" s="28"/>
      <c r="E64" s="25"/>
      <c r="F64" s="25"/>
      <c r="G64" s="25"/>
    </row>
    <row r="65" spans="2:7">
      <c r="B65" s="28"/>
      <c r="C65" s="28"/>
      <c r="E65" s="25"/>
      <c r="G65" s="25"/>
    </row>
  </sheetData>
  <mergeCells count="7">
    <mergeCell ref="A4:A5"/>
    <mergeCell ref="A2:E2"/>
    <mergeCell ref="A1:G1"/>
    <mergeCell ref="D4:D5"/>
    <mergeCell ref="B3:C3"/>
    <mergeCell ref="B4:B5"/>
    <mergeCell ref="C4:C5"/>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Goback">
                <anchor moveWithCells="1" sizeWithCells="1">
                  <from>
                    <xdr:col>4</xdr:col>
                    <xdr:colOff>152400</xdr:colOff>
                    <xdr:row>56</xdr:row>
                    <xdr:rowOff>12700</xdr:rowOff>
                  </from>
                  <to>
                    <xdr:col>4</xdr:col>
                    <xdr:colOff>1676400</xdr:colOff>
                    <xdr:row>58</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Worksheet Key</vt:lpstr>
      <vt:lpstr>Capital Budgeting</vt:lpstr>
      <vt:lpstr>NPV Profile &amp; Questions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Ferris, Christine</dc:creator>
  <cp:lastModifiedBy>Microsoft Office User</cp:lastModifiedBy>
  <dcterms:created xsi:type="dcterms:W3CDTF">2019-02-13T19:56:01Z</dcterms:created>
  <dcterms:modified xsi:type="dcterms:W3CDTF">2019-10-02T23:59:25Z</dcterms:modified>
</cp:coreProperties>
</file>