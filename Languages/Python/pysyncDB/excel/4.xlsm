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917" codeName="{51196F13-6AD0-C1B8-E2B4-A1F9AE17003E}"/>
  <workbookPr codeName="ThisWorkbook" defaultThemeVersion="166925"/>
  <mc:AlternateContent xmlns:mc="http://schemas.openxmlformats.org/markup-compatibility/2006">
    <mc:Choice Requires="x15">
      <x15ac:absPath xmlns:x15ac="http://schemas.microsoft.com/office/spreadsheetml/2010/11/ac" url="/Users/erikdkosberg/Downloads/"/>
    </mc:Choice>
  </mc:AlternateContent>
  <xr:revisionPtr revIDLastSave="0" documentId="13_ncr:1_{FC43BABC-9883-9740-8CDB-76D78CEB5C74}" xr6:coauthVersionLast="45" xr6:coauthVersionMax="45" xr10:uidLastSave="{00000000-0000-0000-0000-000000000000}"/>
  <bookViews>
    <workbookView xWindow="0" yWindow="0" windowWidth="25600" windowHeight="16000" activeTab="2" xr2:uid="{00000000-000D-0000-FFFF-FFFF00000000}"/>
  </bookViews>
  <sheets>
    <sheet name="Key" sheetId="1" r:id="rId1"/>
    <sheet name="WACC" sheetId="2" r:id="rId2"/>
    <sheet name="Break-even EBIT" sheetId="7" r:id="rId3"/>
    <sheet name="Optimal Capital Structure" sheetId="6" r:id="rId4"/>
    <sheet name="Questions" sheetId="8" r:id="rId5"/>
  </sheets>
  <functionGroups builtInGroupCount="19"/>
  <definedNames>
    <definedName name="_xlchart.v1.0" hidden="1">'Break-even EBIT'!$D$13</definedName>
    <definedName name="_xlchart.v1.1" hidden="1">'Break-even EBIT'!$D$14</definedName>
    <definedName name="_xlchart.v1.10" hidden="1">'Break-even EBIT'!$E$17:$O$17</definedName>
    <definedName name="_xlchart.v1.11" hidden="1">'Break-even EBIT'!$D$13</definedName>
    <definedName name="_xlchart.v1.12" hidden="1">'Break-even EBIT'!$D$14</definedName>
    <definedName name="_xlchart.v1.13" hidden="1">'Break-even EBIT'!$D$15</definedName>
    <definedName name="_xlchart.v1.14" hidden="1">'Break-even EBIT'!$D$16</definedName>
    <definedName name="_xlchart.v1.15" hidden="1">'Break-even EBIT'!$D$17</definedName>
    <definedName name="_xlchart.v1.16" hidden="1">'Break-even EBIT'!$E$12:$O$12</definedName>
    <definedName name="_xlchart.v1.17" hidden="1">'Break-even EBIT'!$E$13:$O$13</definedName>
    <definedName name="_xlchart.v1.18" hidden="1">'Break-even EBIT'!$E$14:$O$14</definedName>
    <definedName name="_xlchart.v1.19" hidden="1">'Break-even EBIT'!$E$15:$O$15</definedName>
    <definedName name="_xlchart.v1.2" hidden="1">'Break-even EBIT'!$D$15</definedName>
    <definedName name="_xlchart.v1.20" hidden="1">'Break-even EBIT'!$E$16:$O$16</definedName>
    <definedName name="_xlchart.v1.21" hidden="1">'Break-even EBIT'!$E$17:$O$17</definedName>
    <definedName name="_xlchart.v1.22" hidden="1">'Break-even EBIT'!$D$13</definedName>
    <definedName name="_xlchart.v1.23" hidden="1">'Break-even EBIT'!$D$14</definedName>
    <definedName name="_xlchart.v1.24" hidden="1">'Break-even EBIT'!$D$15</definedName>
    <definedName name="_xlchart.v1.25" hidden="1">'Break-even EBIT'!$D$16</definedName>
    <definedName name="_xlchart.v1.26" hidden="1">'Break-even EBIT'!$D$17</definedName>
    <definedName name="_xlchart.v1.27" hidden="1">'Break-even EBIT'!$E$12:$O$12</definedName>
    <definedName name="_xlchart.v1.28" hidden="1">'Break-even EBIT'!$E$13:$O$13</definedName>
    <definedName name="_xlchart.v1.29" hidden="1">'Break-even EBIT'!$E$14:$O$14</definedName>
    <definedName name="_xlchart.v1.3" hidden="1">'Break-even EBIT'!$D$16</definedName>
    <definedName name="_xlchart.v1.30" hidden="1">'Break-even EBIT'!$E$15:$O$15</definedName>
    <definedName name="_xlchart.v1.31" hidden="1">'Break-even EBIT'!$E$16:$O$16</definedName>
    <definedName name="_xlchart.v1.32" hidden="1">'Break-even EBIT'!$E$17:$O$17</definedName>
    <definedName name="_xlchart.v1.33" hidden="1">'Break-even EBIT'!$D$13</definedName>
    <definedName name="_xlchart.v1.34" hidden="1">'Break-even EBIT'!$D$14</definedName>
    <definedName name="_xlchart.v1.35" hidden="1">'Break-even EBIT'!$D$15</definedName>
    <definedName name="_xlchart.v1.36" hidden="1">'Break-even EBIT'!$D$16</definedName>
    <definedName name="_xlchart.v1.37" hidden="1">'Break-even EBIT'!$D$17</definedName>
    <definedName name="_xlchart.v1.38" hidden="1">'Break-even EBIT'!$E$12:$O$12</definedName>
    <definedName name="_xlchart.v1.39" hidden="1">'Break-even EBIT'!$E$13:$O$13</definedName>
    <definedName name="_xlchart.v1.4" hidden="1">'Break-even EBIT'!$D$17</definedName>
    <definedName name="_xlchart.v1.40" hidden="1">'Break-even EBIT'!$E$14:$O$14</definedName>
    <definedName name="_xlchart.v1.41" hidden="1">'Break-even EBIT'!$E$15:$O$15</definedName>
    <definedName name="_xlchart.v1.42" hidden="1">'Break-even EBIT'!$E$16:$O$16</definedName>
    <definedName name="_xlchart.v1.43" hidden="1">'Break-even EBIT'!$E$17:$O$17</definedName>
    <definedName name="_xlchart.v1.48" hidden="1">'Optimal Capital Structure'!$A$3</definedName>
    <definedName name="_xlchart.v1.49" hidden="1">'Optimal Capital Structure'!$A$4</definedName>
    <definedName name="_xlchart.v1.5" hidden="1">'Break-even EBIT'!$E$12:$O$12</definedName>
    <definedName name="_xlchart.v1.50" hidden="1">'Optimal Capital Structure'!$B$3:$L$3</definedName>
    <definedName name="_xlchart.v1.51" hidden="1">'Optimal Capital Structure'!$B$4:$L$4</definedName>
    <definedName name="_xlchart.v1.6" hidden="1">'Break-even EBIT'!$E$13:$O$13</definedName>
    <definedName name="_xlchart.v1.7" hidden="1">'Break-even EBIT'!$E$14:$O$14</definedName>
    <definedName name="_xlchart.v1.8" hidden="1">'Break-even EBIT'!$E$15:$O$15</definedName>
    <definedName name="_xlchart.v1.9" hidden="1">'Break-even EBIT'!$E$16:$O$16</definedName>
    <definedName name="_xlchart.v2.44" hidden="1">'Optimal Capital Structure'!$A$3</definedName>
    <definedName name="_xlchart.v2.45" hidden="1">'Optimal Capital Structure'!$A$4</definedName>
    <definedName name="_xlchart.v2.46" hidden="1">'Optimal Capital Structure'!$B$3:$L$3</definedName>
    <definedName name="_xlchart.v2.47" hidden="1">'Optimal Capital Structure'!$B$4:$L$4</definedName>
    <definedName name="solver_adj" localSheetId="2" hidden="1">'Break-even EBIT'!$G$3</definedName>
    <definedName name="solver_adj" localSheetId="1" hidden="1">WACC!#REF!,WACC!#REF!,WACC!#REF!</definedName>
    <definedName name="solver_cvg" localSheetId="2" hidden="1">0.0001</definedName>
    <definedName name="solver_cvg" localSheetId="1" hidden="1">0.0001</definedName>
    <definedName name="solver_drv" localSheetId="2" hidden="1">1</definedName>
    <definedName name="solver_drv" localSheetId="1" hidden="1">1</definedName>
    <definedName name="solver_eng" localSheetId="2" hidden="1">1</definedName>
    <definedName name="solver_eng" localSheetId="1" hidden="1">1</definedName>
    <definedName name="solver_est" localSheetId="2" hidden="1">1</definedName>
    <definedName name="solver_est" localSheetId="1" hidden="1">1</definedName>
    <definedName name="solver_itr" localSheetId="2" hidden="1">2147483647</definedName>
    <definedName name="solver_itr" localSheetId="1" hidden="1">2147483647</definedName>
    <definedName name="solver_lhs1" localSheetId="2" hidden="1">'Break-even EBIT'!$J$3</definedName>
    <definedName name="solver_lhs1" localSheetId="1" hidden="1">WACC!#REF!</definedName>
    <definedName name="solver_lhs2" localSheetId="2" hidden="1">'Break-even EBIT'!$J$3</definedName>
    <definedName name="solver_lhs2" localSheetId="1" hidden="1">WACC!#REF!</definedName>
    <definedName name="solver_lhs3" localSheetId="2" hidden="1">'Break-even EBIT'!$J$3</definedName>
    <definedName name="solver_lhs3" localSheetId="1" hidden="1">WACC!#REF!</definedName>
    <definedName name="solver_lhs4" localSheetId="2" hidden="1">'Break-even EBIT'!$J$8</definedName>
    <definedName name="solver_lhs5" localSheetId="2" hidden="1">'Break-even EBIT'!$J$7</definedName>
    <definedName name="solver_lin" localSheetId="2" hidden="1">2</definedName>
    <definedName name="solver_mip" localSheetId="2" hidden="1">2147483647</definedName>
    <definedName name="solver_mip" localSheetId="1" hidden="1">2147483647</definedName>
    <definedName name="solver_mni" localSheetId="2" hidden="1">30</definedName>
    <definedName name="solver_mni" localSheetId="1" hidden="1">30</definedName>
    <definedName name="solver_mrt" localSheetId="2" hidden="1">0.075</definedName>
    <definedName name="solver_mrt" localSheetId="1" hidden="1">0.075</definedName>
    <definedName name="solver_msl" localSheetId="2" hidden="1">2</definedName>
    <definedName name="solver_msl" localSheetId="1" hidden="1">2</definedName>
    <definedName name="solver_neg" localSheetId="2" hidden="1">1</definedName>
    <definedName name="solver_neg" localSheetId="1" hidden="1">1</definedName>
    <definedName name="solver_nod" localSheetId="2" hidden="1">2147483647</definedName>
    <definedName name="solver_nod" localSheetId="1" hidden="1">2147483647</definedName>
    <definedName name="solver_num" localSheetId="2" hidden="1">0</definedName>
    <definedName name="solver_num" localSheetId="1" hidden="1">3</definedName>
    <definedName name="solver_nwt" localSheetId="2" hidden="1">1</definedName>
    <definedName name="solver_nwt" localSheetId="1" hidden="1">1</definedName>
    <definedName name="solver_opt" localSheetId="2" hidden="1">'Break-even EBIT'!$B$6</definedName>
    <definedName name="solver_opt" localSheetId="1" hidden="1">WACC!#REF!</definedName>
    <definedName name="solver_pre" localSheetId="2" hidden="1">0.000001</definedName>
    <definedName name="solver_pre" localSheetId="1" hidden="1">0.000001</definedName>
    <definedName name="solver_rbv" localSheetId="2" hidden="1">1</definedName>
    <definedName name="solver_rbv" localSheetId="1" hidden="1">1</definedName>
    <definedName name="solver_rel1" localSheetId="2" hidden="1">2</definedName>
    <definedName name="solver_rel1" localSheetId="1" hidden="1">2</definedName>
    <definedName name="solver_rel2" localSheetId="2" hidden="1">2</definedName>
    <definedName name="solver_rel2" localSheetId="1" hidden="1">2</definedName>
    <definedName name="solver_rel3" localSheetId="2" hidden="1">2</definedName>
    <definedName name="solver_rel3" localSheetId="1" hidden="1">2</definedName>
    <definedName name="solver_rel4" localSheetId="2" hidden="1">2</definedName>
    <definedName name="solver_rel5" localSheetId="2" hidden="1">2</definedName>
    <definedName name="solver_rhs1" localSheetId="2" hidden="1">'Break-even EBIT'!$J$4</definedName>
    <definedName name="solver_rhs1" localSheetId="1" hidden="1">0.4</definedName>
    <definedName name="solver_rhs2" localSheetId="2" hidden="1">'Break-even EBIT'!$J$5</definedName>
    <definedName name="solver_rhs2" localSheetId="1" hidden="1">0.5</definedName>
    <definedName name="solver_rhs3" localSheetId="2" hidden="1">'Break-even EBIT'!$J$7</definedName>
    <definedName name="solver_rhs3" localSheetId="1" hidden="1">0.1</definedName>
    <definedName name="solver_rhs4" localSheetId="2" hidden="1">'Break-even EBIT'!$J$7</definedName>
    <definedName name="solver_rhs5" localSheetId="2" hidden="1">'Break-even EBIT'!$J$8</definedName>
    <definedName name="solver_rlx" localSheetId="2" hidden="1">1</definedName>
    <definedName name="solver_rlx" localSheetId="1" hidden="1">2</definedName>
    <definedName name="solver_rsd" localSheetId="2" hidden="1">0</definedName>
    <definedName name="solver_rsd" localSheetId="1" hidden="1">0</definedName>
    <definedName name="solver_scl" localSheetId="2" hidden="1">2</definedName>
    <definedName name="solver_scl" localSheetId="1" hidden="1">1</definedName>
    <definedName name="solver_sho" localSheetId="2" hidden="1">2</definedName>
    <definedName name="solver_sho" localSheetId="1" hidden="1">2</definedName>
    <definedName name="solver_ssz" localSheetId="2" hidden="1">100</definedName>
    <definedName name="solver_ssz" localSheetId="1" hidden="1">100</definedName>
    <definedName name="solver_tim" localSheetId="2" hidden="1">2147483647</definedName>
    <definedName name="solver_tim" localSheetId="1" hidden="1">2147483647</definedName>
    <definedName name="solver_tol" localSheetId="2" hidden="1">0.01</definedName>
    <definedName name="solver_tol" localSheetId="1" hidden="1">0.01</definedName>
    <definedName name="solver_typ" localSheetId="2" hidden="1">3</definedName>
    <definedName name="solver_typ" localSheetId="1" hidden="1">3</definedName>
    <definedName name="solver_val" localSheetId="2" hidden="1">0</definedName>
    <definedName name="solver_val" localSheetId="1" hidden="1">1</definedName>
    <definedName name="solver_ver" localSheetId="2" hidden="1">3</definedName>
    <definedName name="solver_ver" localSheetId="1"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3" i="7" l="1"/>
  <c r="G12" i="7" l="1"/>
  <c r="H12" i="7" s="1"/>
  <c r="I12" i="7" s="1"/>
  <c r="J12" i="7" s="1"/>
  <c r="K12" i="7" s="1"/>
  <c r="L12" i="7" s="1"/>
  <c r="M12" i="7" s="1"/>
  <c r="N12" i="7" s="1"/>
  <c r="O12" i="7" s="1"/>
  <c r="G4" i="7" l="1"/>
  <c r="G5" i="7" l="1"/>
  <c r="O4" i="6"/>
  <c r="O3" i="6"/>
  <c r="O2" i="6"/>
  <c r="B5" i="7"/>
  <c r="B4" i="7"/>
  <c r="C14" i="2"/>
  <c r="G12" i="2"/>
  <c r="E9" i="2"/>
  <c r="G6" i="7" l="1"/>
  <c r="G7" i="7" l="1"/>
  <c r="G8" i="7" l="1"/>
  <c r="C21" i="2" l="1"/>
  <c r="E22" i="2"/>
  <c r="G21" i="2"/>
  <c r="G22" i="2" s="1"/>
  <c r="E21" i="2"/>
  <c r="C22" i="2" l="1"/>
  <c r="C3" i="6"/>
  <c r="D3" i="6"/>
  <c r="E3" i="6"/>
  <c r="F3" i="6"/>
  <c r="G3" i="6"/>
  <c r="H3" i="6"/>
  <c r="I3" i="6"/>
  <c r="J3" i="6"/>
  <c r="K3" i="6"/>
  <c r="L3" i="6"/>
  <c r="B3" i="6"/>
  <c r="C10" i="2"/>
  <c r="E25" i="2" l="1"/>
  <c r="B2" i="7"/>
  <c r="H3" i="7" s="1"/>
  <c r="I3" i="7" s="1"/>
  <c r="E19" i="2"/>
  <c r="C19" i="2"/>
  <c r="B3" i="7" s="1"/>
  <c r="G25" i="2"/>
  <c r="G19" i="2"/>
  <c r="B6" i="6" s="1"/>
  <c r="C15" i="2"/>
  <c r="C2" i="2"/>
  <c r="C3" i="2"/>
  <c r="C6" i="6" l="1"/>
  <c r="B7" i="6"/>
  <c r="B5" i="6"/>
  <c r="E3" i="7"/>
  <c r="B4" i="6"/>
  <c r="C7" i="6" l="1"/>
  <c r="D6" i="6"/>
  <c r="F3" i="7"/>
  <c r="C5" i="6"/>
  <c r="C4" i="6"/>
  <c r="E6" i="6" l="1"/>
  <c r="D7" i="6"/>
  <c r="J3" i="7"/>
  <c r="D12" i="7" s="1"/>
  <c r="D5" i="6"/>
  <c r="D4" i="7"/>
  <c r="L23" i="1"/>
  <c r="D4" i="6"/>
  <c r="E7" i="6" l="1"/>
  <c r="F6" i="6"/>
  <c r="H4" i="7"/>
  <c r="I4" i="7" s="1"/>
  <c r="E4" i="7"/>
  <c r="F4" i="7" s="1"/>
  <c r="E5" i="6"/>
  <c r="D5" i="7"/>
  <c r="M23" i="1"/>
  <c r="B5" i="1" s="1"/>
  <c r="E4" i="6"/>
  <c r="F7" i="6" l="1"/>
  <c r="G6" i="6"/>
  <c r="H5" i="7"/>
  <c r="I5" i="7" s="1"/>
  <c r="E5" i="7"/>
  <c r="F5" i="7" s="1"/>
  <c r="F5" i="6"/>
  <c r="D6" i="7"/>
  <c r="F4" i="6"/>
  <c r="H6" i="6" l="1"/>
  <c r="G7" i="6"/>
  <c r="H6" i="7"/>
  <c r="I6" i="7" s="1"/>
  <c r="E6" i="7"/>
  <c r="F6" i="7" s="1"/>
  <c r="J5" i="7"/>
  <c r="G5" i="6"/>
  <c r="D7" i="7"/>
  <c r="G4" i="6"/>
  <c r="I6" i="6" l="1"/>
  <c r="H7" i="6"/>
  <c r="H7" i="7"/>
  <c r="I7" i="7" s="1"/>
  <c r="E7" i="7"/>
  <c r="F7" i="7" s="1"/>
  <c r="J6" i="7"/>
  <c r="H5" i="6"/>
  <c r="D8" i="7"/>
  <c r="H4" i="6"/>
  <c r="I7" i="6" l="1"/>
  <c r="J6" i="6"/>
  <c r="H8" i="7"/>
  <c r="I8" i="7" s="1"/>
  <c r="E8" i="7"/>
  <c r="F8" i="7" s="1"/>
  <c r="J7" i="7"/>
  <c r="I5" i="6"/>
  <c r="J4" i="7"/>
  <c r="B6" i="7" s="1"/>
  <c r="I4" i="6"/>
  <c r="J7" i="6" l="1"/>
  <c r="K6" i="6"/>
  <c r="J8" i="7"/>
  <c r="J5" i="6"/>
  <c r="J4" i="6"/>
  <c r="K7" i="6" l="1"/>
  <c r="L6" i="6"/>
  <c r="L7" i="6" s="1"/>
  <c r="K5" i="6"/>
  <c r="K4" i="6"/>
  <c r="L5" i="6" l="1"/>
  <c r="L4"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H3" authorId="0" shapeId="0" xr:uid="{00000000-0006-0000-0200-000001000000}">
      <text>
        <r>
          <rPr>
            <b/>
            <sz val="10"/>
            <color rgb="FF000000"/>
            <rFont val="Tahoma"/>
            <family val="2"/>
          </rPr>
          <t>Microsoft Office User:</t>
        </r>
        <r>
          <rPr>
            <sz val="10"/>
            <color rgb="FF000000"/>
            <rFont val="Tahoma"/>
            <family val="2"/>
          </rPr>
          <t xml:space="preserve">
</t>
        </r>
        <r>
          <rPr>
            <sz val="10"/>
            <color rgb="FF000000"/>
            <rFont val="Tahoma"/>
            <family val="2"/>
          </rPr>
          <t xml:space="preserve">total debt: 
</t>
        </r>
        <r>
          <rPr>
            <sz val="10"/>
            <color rgb="FF000000"/>
            <rFont val="Tahoma"/>
            <family val="2"/>
          </rPr>
          <t xml:space="preserve">-MV of firm* debt %*coupon rate
</t>
        </r>
      </text>
    </comment>
  </commentList>
</comments>
</file>

<file path=xl/sharedStrings.xml><?xml version="1.0" encoding="utf-8"?>
<sst xmlns="http://schemas.openxmlformats.org/spreadsheetml/2006/main" count="112" uniqueCount="98">
  <si>
    <t>Name:</t>
  </si>
  <si>
    <t>Grade:</t>
  </si>
  <si>
    <t>Comments:</t>
  </si>
  <si>
    <t>Worksheet Key</t>
  </si>
  <si>
    <r>
      <t>Note</t>
    </r>
    <r>
      <rPr>
        <b/>
        <sz val="12"/>
        <color indexed="10"/>
        <rFont val="Arial"/>
        <family val="2"/>
      </rPr>
      <t>: Not all of these cell codes will be</t>
    </r>
  </si>
  <si>
    <t>applicable for all projects</t>
  </si>
  <si>
    <t>light yellow shading indicates cells that</t>
  </si>
  <si>
    <t>should hold user written formulas</t>
  </si>
  <si>
    <t>pale blue shading indicates cells that</t>
  </si>
  <si>
    <t>should contain Excel functions</t>
  </si>
  <si>
    <t>light gray shading indicates cells which should</t>
  </si>
  <si>
    <t>contain user input data</t>
  </si>
  <si>
    <t>rose shading indicates Solver should be used</t>
  </si>
  <si>
    <t>to determine value</t>
  </si>
  <si>
    <t>Flotation %</t>
  </si>
  <si>
    <t>General</t>
  </si>
  <si>
    <t>Bonds</t>
  </si>
  <si>
    <t>Common Stock</t>
  </si>
  <si>
    <t>Prefered Stock</t>
  </si>
  <si>
    <t>Par Value</t>
  </si>
  <si>
    <t>Current Selling Price</t>
  </si>
  <si>
    <t>Current Price</t>
  </si>
  <si>
    <t>Current Dividend</t>
  </si>
  <si>
    <t>Dividend Growth Rate</t>
  </si>
  <si>
    <t>Beta</t>
  </si>
  <si>
    <t>Market Return</t>
  </si>
  <si>
    <t>Risk Free Rate</t>
  </si>
  <si>
    <t>Coupon Rate</t>
  </si>
  <si>
    <t>Years</t>
  </si>
  <si>
    <t>Compounding Periods</t>
  </si>
  <si>
    <t>Prefered Stock Return</t>
  </si>
  <si>
    <t>YTM</t>
  </si>
  <si>
    <t>Weights</t>
  </si>
  <si>
    <t>Shares outstanding</t>
  </si>
  <si>
    <t>Shares Outstanding</t>
  </si>
  <si>
    <t>MV Debt</t>
  </si>
  <si>
    <t>MV Common Stock</t>
  </si>
  <si>
    <t>MV Preferred Stock</t>
  </si>
  <si>
    <t>Weight Debt</t>
  </si>
  <si>
    <t>Weight Equity</t>
  </si>
  <si>
    <t>Weight Prefered Stock</t>
  </si>
  <si>
    <t>Cost of Capital</t>
  </si>
  <si>
    <t>WACC</t>
  </si>
  <si>
    <t>EBIT</t>
  </si>
  <si>
    <t>Debt %</t>
  </si>
  <si>
    <t>Equity %</t>
  </si>
  <si>
    <t>EPS</t>
  </si>
  <si>
    <t>MV of Firm</t>
  </si>
  <si>
    <t>Interest Expense</t>
  </si>
  <si>
    <t>Breakeven EPS</t>
  </si>
  <si>
    <t>Equity Weight</t>
  </si>
  <si>
    <t>Debt Weight</t>
  </si>
  <si>
    <t>Cost of Equity</t>
  </si>
  <si>
    <t>Cost of Debt</t>
  </si>
  <si>
    <t>Cost of Debt After Tax Shield</t>
  </si>
  <si>
    <t>Tax Rate</t>
  </si>
  <si>
    <t>Cost of Debt Increase Per 10% increase in debt level</t>
  </si>
  <si>
    <t>Cost of Equity Increase Per 10% increase in debt level</t>
  </si>
  <si>
    <t>aqua shading indicates a direct link to another cell</t>
  </si>
  <si>
    <t>BV Debt</t>
  </si>
  <si>
    <t>BV Common Stock</t>
  </si>
  <si>
    <t>BV Prefered Stock</t>
  </si>
  <si>
    <t>WACC if Company had no debt</t>
  </si>
  <si>
    <t>Shares Outstanding with 100% Equity</t>
  </si>
  <si>
    <t>Average Stock Return</t>
  </si>
  <si>
    <t>Rubric</t>
  </si>
  <si>
    <t>Total Points</t>
  </si>
  <si>
    <t>Your Points</t>
  </si>
  <si>
    <t>Comments</t>
  </si>
  <si>
    <t>Correct equations/functions used</t>
  </si>
  <si>
    <t>Formatting including table labels</t>
  </si>
  <si>
    <t>2 point reduction for each of the following: 1) if file is named incorrectly, 2) the cells have been moved or work (other than a comment) is shown outside of the specified cells in the model, 3) base case numbers not used</t>
  </si>
  <si>
    <t>Total</t>
  </si>
  <si>
    <t>Weights if Company has no debt</t>
  </si>
  <si>
    <t>Data Table &amp; Graphs</t>
  </si>
  <si>
    <t>Questions</t>
  </si>
  <si>
    <t>Custom function, Solver macro, and scroll bars</t>
  </si>
  <si>
    <t>Stock Return (CAPM)</t>
  </si>
  <si>
    <t>Stock Return (DDM)</t>
  </si>
  <si>
    <t>Project #4 Capital Structure</t>
  </si>
  <si>
    <t>Net Income</t>
  </si>
  <si>
    <t>Tax rate</t>
  </si>
  <si>
    <t>light green shading indicates hidden contents</t>
  </si>
  <si>
    <t>used as a computation or temporary formula area</t>
  </si>
  <si>
    <t>user defined function</t>
  </si>
  <si>
    <t>data table</t>
  </si>
  <si>
    <t>Weight Common Stock</t>
  </si>
  <si>
    <t>Annual Coupon %</t>
  </si>
  <si>
    <t>A</t>
  </si>
  <si>
    <t>B</t>
  </si>
  <si>
    <t>C</t>
  </si>
  <si>
    <t>Weight of Debt</t>
  </si>
  <si>
    <r>
      <t>a.</t>
    </r>
    <r>
      <rPr>
        <sz val="7"/>
        <color theme="1"/>
        <rFont val="Times New Roman"/>
        <family val="1"/>
      </rPr>
      <t xml:space="preserve">     </t>
    </r>
    <r>
      <rPr>
        <sz val="11"/>
        <color theme="1"/>
        <rFont val="Times New Roman"/>
        <family val="1"/>
      </rPr>
      <t>What is the approximate optimal capital structure for the firm according to the graph you created on the Optimal Capital Structure worksheet? (use base case numbers)</t>
    </r>
  </si>
  <si>
    <r>
      <t>b.</t>
    </r>
    <r>
      <rPr>
        <sz val="7"/>
        <color theme="1"/>
        <rFont val="Times New Roman"/>
        <family val="1"/>
      </rPr>
      <t xml:space="preserve">     </t>
    </r>
    <r>
      <rPr>
        <sz val="11"/>
        <color theme="1"/>
        <rFont val="Times New Roman"/>
        <family val="1"/>
      </rPr>
      <t>Use the three scroll bars you created to see how changing the tax rate or risk level of the firm changes the optimal capital structure. Report some of your findings.</t>
    </r>
  </si>
  <si>
    <r>
      <t>c.</t>
    </r>
    <r>
      <rPr>
        <sz val="7"/>
        <color theme="1"/>
        <rFont val="Times New Roman"/>
        <family val="1"/>
      </rPr>
      <t xml:space="preserve">     </t>
    </r>
    <r>
      <rPr>
        <sz val="11"/>
        <color theme="1"/>
        <rFont val="Times New Roman"/>
        <family val="1"/>
      </rPr>
      <t>According to the EBIT break-even point worksheet what is the minimum EBIT we can have to support the current level of debt? What should we do if our actual EBIT is lower than this number? (use base case numbers)</t>
    </r>
  </si>
  <si>
    <t xml:space="preserve">Increasing the tax rate yields two results: a decrease in WACC, and a decrease in the Cost of Debt After the Tax Shield. As the tax rate increases, the debt component of the WACC decreases which in turn decreases the WACC. The Cost of Debt After the Tax Shield goes down because the tax shield is getting bigger. </t>
  </si>
  <si>
    <t>The minimum EBIT we can have to support the current level of debt is  $1,102,569. At this EBIT, the EPS will be the same regardless of the weight of debt. This can be used to support the current level of debt at its minimum. If our actual EBIT is lower than this number, we should take on less debt.</t>
  </si>
  <si>
    <t>The optimal amount of debt is around 45%. At this level of debt, WACC is at its lowest therefor costs are minimized to their most effective rate.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</si>
</sst>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8" formatCode="&quot;$&quot;#,##0.00_);[Red]\(&quot;$&quot;#,##0.00\)"/>
    <numFmt numFmtId="44" formatCode="_(&quot;$&quot;* #,##0.00_);_(&quot;$&quot;* \(#,##0.00\);_(&quot;$&quot;* &quot;-&quot;??_);_(@_)"/>
    <numFmt numFmtId="43" formatCode="_(* #,##0.00_);_(* \(#,##0.00\);_(* &quot;-&quot;??_);_(@_)"/>
    <numFmt numFmtId="165" formatCode="_(* #,##0_);_(* \(#,##0\);_(* &quot;-&quot;??_);_(@_)"/>
    <numFmt numFmtId="166" formatCode="_(* #,##0.000_);_(* \(#,##0.000\);_(* &quot;-&quot;??_);_(@_)"/>
    <numFmt numFmtId="167" formatCode="0.0%"/>
    <numFmt numFmtId="168" formatCode="0.0000%"/>
    <numFmt numFmtId="169" formatCode="_(* #,##0.0000_);_(* \(#,##0.0000\);_(* &quot;-&quot;??_);_(@_)"/>
    <numFmt numFmtId="175" formatCode="&quot;$&quot;#,##0.00"/>
  </numFmts>
  <fonts count="19">
    <font>
      <sz val="11"/>
      <color theme="1"/>
      <name val="Calibri"/>
      <family val="2"/>
      <scheme val="minor"/>
    </font>
    <font>
      <sz val="11"/>
      <color theme="1"/>
      <name val="Calibri"/>
      <family val="2"/>
      <scheme val="minor"/>
    </font>
    <font>
      <b/>
      <sz val="12"/>
      <name val="Arial"/>
      <family val="2"/>
    </font>
    <font>
      <sz val="12"/>
      <name val="Arial"/>
      <family val="2"/>
    </font>
    <font>
      <b/>
      <sz val="12"/>
      <color indexed="10"/>
      <name val="Arial"/>
      <family val="2"/>
    </font>
    <font>
      <b/>
      <sz val="10"/>
      <color indexed="10"/>
      <name val="Arial"/>
      <family val="2"/>
    </font>
    <font>
      <b/>
      <u/>
      <sz val="12"/>
      <color indexed="10"/>
      <name val="Arial"/>
      <family val="2"/>
    </font>
    <font>
      <sz val="11"/>
      <color rgb="FF000000"/>
      <name val="Calibri"/>
      <family val="2"/>
    </font>
    <font>
      <sz val="11"/>
      <color rgb="FF000000"/>
      <name val="Calibri"/>
      <family val="2"/>
      <scheme val="minor"/>
    </font>
    <font>
      <sz val="11"/>
      <name val="Calibri"/>
      <family val="2"/>
      <scheme val="minor"/>
    </font>
    <font>
      <sz val="11"/>
      <color rgb="FFFF0000"/>
      <name val="Calibri"/>
      <family val="2"/>
      <scheme val="minor"/>
    </font>
    <font>
      <sz val="10"/>
      <name val="Arial"/>
      <family val="2"/>
    </font>
    <font>
      <sz val="11"/>
      <name val="Arial"/>
      <family val="2"/>
    </font>
    <font>
      <sz val="8"/>
      <name val="Arial"/>
      <family val="2"/>
    </font>
    <font>
      <b/>
      <sz val="10"/>
      <color theme="1"/>
      <name val="Arial"/>
      <family val="2"/>
    </font>
    <font>
      <sz val="10"/>
      <color rgb="FF000000"/>
      <name val="Tahoma"/>
      <family val="2"/>
    </font>
    <font>
      <b/>
      <sz val="10"/>
      <color rgb="FF000000"/>
      <name val="Tahoma"/>
      <family val="2"/>
    </font>
    <font>
      <sz val="11"/>
      <color theme="1"/>
      <name val="Times New Roman"/>
      <family val="1"/>
    </font>
    <font>
      <sz val="7"/>
      <color theme="1"/>
      <name val="Times New Roman"/>
      <family val="1"/>
    </font>
  </fonts>
  <fills count="12">
    <fill>
      <patternFill patternType="none"/>
    </fill>
    <fill>
      <patternFill patternType="gray125"/>
    </fill>
    <fill>
      <patternFill patternType="solid">
        <fgColor indexed="22"/>
        <bgColor indexed="64"/>
      </patternFill>
    </fill>
    <fill>
      <patternFill patternType="solid">
        <fgColor indexed="43"/>
        <bgColor indexed="64"/>
      </patternFill>
    </fill>
    <fill>
      <patternFill patternType="solid">
        <fgColor indexed="44"/>
        <bgColor indexed="64"/>
      </patternFill>
    </fill>
    <fill>
      <patternFill patternType="solid">
        <fgColor indexed="45"/>
        <bgColor indexed="64"/>
      </patternFill>
    </fill>
    <fill>
      <patternFill patternType="solid">
        <fgColor theme="0"/>
        <bgColor indexed="64"/>
      </patternFill>
    </fill>
    <fill>
      <patternFill patternType="solid">
        <fgColor rgb="FFFFC000"/>
        <bgColor indexed="64"/>
      </patternFill>
    </fill>
    <fill>
      <patternFill patternType="solid">
        <fgColor rgb="FF00B0F0"/>
        <bgColor indexed="64"/>
      </patternFill>
    </fill>
    <fill>
      <patternFill patternType="solid">
        <fgColor indexed="42"/>
        <bgColor indexed="64"/>
      </patternFill>
    </fill>
    <fill>
      <patternFill patternType="solid">
        <fgColor indexed="52"/>
        <bgColor indexed="64"/>
      </patternFill>
    </fill>
    <fill>
      <patternFill patternType="solid">
        <fgColor theme="9" tint="-0.249977111117893"/>
        <bgColor indexed="64"/>
      </patternFill>
    </fill>
  </fills>
  <borders count="38">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medium">
        <color indexed="64"/>
      </top>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s>
  <cellStyleXfs count="11">
    <xf numFmtId="0" fontId="0" fillId="0" borderId="0"/>
    <xf numFmtId="44"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xf numFmtId="0" fontId="11" fillId="0" borderId="0"/>
    <xf numFmtId="43" fontId="11" fillId="0" borderId="0" applyFont="0" applyFill="0" applyBorder="0" applyAlignment="0" applyProtection="0"/>
    <xf numFmtId="44" fontId="11" fillId="0" borderId="0" applyFont="0" applyFill="0" applyBorder="0" applyAlignment="0" applyProtection="0"/>
    <xf numFmtId="9" fontId="11" fillId="0" borderId="0" applyFont="0" applyFill="0" applyBorder="0" applyAlignment="0" applyProtection="0"/>
    <xf numFmtId="0" fontId="13" fillId="0" borderId="0"/>
    <xf numFmtId="43" fontId="1" fillId="0" borderId="0" applyFont="0" applyFill="0" applyBorder="0" applyAlignment="0" applyProtection="0"/>
    <xf numFmtId="43" fontId="13" fillId="0" borderId="0" applyFont="0" applyFill="0" applyBorder="0" applyAlignment="0" applyProtection="0"/>
  </cellStyleXfs>
  <cellXfs count="171">
    <xf numFmtId="0" fontId="0" fillId="0" borderId="0" xfId="0"/>
    <xf numFmtId="0" fontId="3" fillId="0" borderId="0" xfId="0" applyFont="1"/>
    <xf numFmtId="0" fontId="4" fillId="0" borderId="4" xfId="0" applyFont="1" applyBorder="1" applyAlignment="1">
      <alignment horizontal="center"/>
    </xf>
    <xf numFmtId="0" fontId="3" fillId="0" borderId="0" xfId="0" applyFont="1" applyBorder="1"/>
    <xf numFmtId="0" fontId="2" fillId="0" borderId="1" xfId="0" applyFont="1" applyBorder="1" applyAlignment="1">
      <alignment horizontal="centerContinuous"/>
    </xf>
    <xf numFmtId="0" fontId="3" fillId="0" borderId="2" xfId="0" applyFont="1" applyBorder="1" applyAlignment="1">
      <alignment horizontal="centerContinuous"/>
    </xf>
    <xf numFmtId="0" fontId="3" fillId="0" borderId="3" xfId="0" applyFont="1" applyBorder="1" applyAlignment="1">
      <alignment horizontal="centerContinuous"/>
    </xf>
    <xf numFmtId="0" fontId="0" fillId="0" borderId="3" xfId="0" applyBorder="1" applyAlignment="1">
      <alignment horizontal="centerContinuous"/>
    </xf>
    <xf numFmtId="0" fontId="2" fillId="0" borderId="0" xfId="0" applyFont="1" applyBorder="1" applyAlignment="1">
      <alignment horizontal="centerContinuous"/>
    </xf>
    <xf numFmtId="0" fontId="3" fillId="0" borderId="0" xfId="0" applyFont="1" applyBorder="1" applyAlignment="1">
      <alignment horizontal="centerContinuous"/>
    </xf>
    <xf numFmtId="0" fontId="6" fillId="0" borderId="0" xfId="0" applyFont="1" applyBorder="1" applyAlignment="1">
      <alignment horizontal="left"/>
    </xf>
    <xf numFmtId="0" fontId="4" fillId="0" borderId="0" xfId="0" applyFont="1" applyBorder="1" applyAlignment="1">
      <alignment horizontal="left"/>
    </xf>
    <xf numFmtId="0" fontId="3" fillId="3" borderId="4" xfId="0" applyFont="1" applyFill="1" applyBorder="1"/>
    <xf numFmtId="0" fontId="3" fillId="0" borderId="0" xfId="0" applyFont="1" applyAlignment="1"/>
    <xf numFmtId="0" fontId="3" fillId="4" borderId="4" xfId="0" applyFont="1" applyFill="1" applyBorder="1"/>
    <xf numFmtId="0" fontId="3" fillId="2" borderId="4" xfId="0" applyFont="1" applyFill="1" applyBorder="1"/>
    <xf numFmtId="0" fontId="3" fillId="5" borderId="4" xfId="0" applyFont="1" applyFill="1" applyBorder="1"/>
    <xf numFmtId="0" fontId="0" fillId="8" borderId="4" xfId="0" applyFill="1" applyBorder="1"/>
    <xf numFmtId="9" fontId="0" fillId="6" borderId="0" xfId="2" applyFont="1" applyFill="1"/>
    <xf numFmtId="10" fontId="0" fillId="6" borderId="0" xfId="2" applyNumberFormat="1" applyFont="1" applyFill="1"/>
    <xf numFmtId="0" fontId="0" fillId="0" borderId="0" xfId="0" applyAlignment="1">
      <alignment vertical="top"/>
    </xf>
    <xf numFmtId="0" fontId="12" fillId="0" borderId="4" xfId="4" applyFont="1" applyBorder="1" applyAlignment="1">
      <alignment horizontal="center"/>
    </xf>
    <xf numFmtId="0" fontId="12" fillId="0" borderId="4" xfId="4" applyFont="1" applyBorder="1" applyAlignment="1">
      <alignment wrapText="1"/>
    </xf>
    <xf numFmtId="0" fontId="10" fillId="0" borderId="4" xfId="4" applyFont="1" applyBorder="1" applyAlignment="1">
      <alignment wrapText="1"/>
    </xf>
    <xf numFmtId="0" fontId="12" fillId="0" borderId="4" xfId="4" applyFont="1" applyBorder="1"/>
    <xf numFmtId="0" fontId="10" fillId="0" borderId="4" xfId="4" applyFont="1" applyBorder="1"/>
    <xf numFmtId="43" fontId="9" fillId="3" borderId="0" xfId="3" applyFont="1" applyFill="1" applyBorder="1"/>
    <xf numFmtId="0" fontId="3" fillId="0" borderId="0" xfId="0" applyFont="1" applyAlignment="1">
      <alignment vertical="top"/>
    </xf>
    <xf numFmtId="0" fontId="0" fillId="6" borderId="0" xfId="0" applyFill="1"/>
    <xf numFmtId="0" fontId="0" fillId="6" borderId="5" xfId="0" applyFill="1" applyBorder="1" applyAlignment="1">
      <alignment wrapText="1"/>
    </xf>
    <xf numFmtId="0" fontId="0" fillId="6" borderId="0" xfId="0" applyFill="1" applyAlignment="1">
      <alignment wrapText="1"/>
    </xf>
    <xf numFmtId="0" fontId="7" fillId="0" borderId="0" xfId="0" applyFont="1" applyBorder="1" applyAlignment="1">
      <alignment vertical="center" wrapText="1"/>
    </xf>
    <xf numFmtId="0" fontId="13" fillId="0" borderId="0" xfId="8"/>
    <xf numFmtId="0" fontId="3" fillId="0" borderId="0" xfId="8" applyFont="1"/>
    <xf numFmtId="0" fontId="3" fillId="0" borderId="0" xfId="8" applyFont="1" applyFill="1" applyBorder="1"/>
    <xf numFmtId="0" fontId="3" fillId="9" borderId="4" xfId="8" applyFont="1" applyFill="1" applyBorder="1"/>
    <xf numFmtId="0" fontId="3" fillId="10" borderId="4" xfId="8" applyFont="1" applyFill="1" applyBorder="1"/>
    <xf numFmtId="0" fontId="0" fillId="11" borderId="0" xfId="0" applyFill="1"/>
    <xf numFmtId="9" fontId="9" fillId="2" borderId="15" xfId="2" applyFont="1" applyFill="1" applyBorder="1"/>
    <xf numFmtId="43" fontId="9" fillId="3" borderId="17" xfId="3" applyFont="1" applyFill="1" applyBorder="1"/>
    <xf numFmtId="43" fontId="9" fillId="3" borderId="20" xfId="3" applyFont="1" applyFill="1" applyBorder="1"/>
    <xf numFmtId="0" fontId="0" fillId="0" borderId="35" xfId="0" applyBorder="1" applyAlignment="1">
      <alignment horizontal="left" wrapText="1"/>
    </xf>
    <xf numFmtId="165" fontId="14" fillId="9" borderId="0" xfId="10" applyNumberFormat="1" applyFont="1" applyFill="1"/>
    <xf numFmtId="0" fontId="0" fillId="0" borderId="35" xfId="0" applyBorder="1" applyAlignment="1">
      <alignment horizontal="left"/>
    </xf>
    <xf numFmtId="43" fontId="9" fillId="3" borderId="35" xfId="3" applyFont="1" applyFill="1" applyBorder="1"/>
    <xf numFmtId="0" fontId="8" fillId="0" borderId="35" xfId="0" applyFont="1" applyBorder="1" applyAlignment="1">
      <alignment wrapText="1"/>
    </xf>
    <xf numFmtId="0" fontId="0" fillId="0" borderId="35" xfId="0" applyBorder="1" applyAlignment="1">
      <alignment wrapText="1"/>
    </xf>
    <xf numFmtId="0" fontId="8" fillId="0" borderId="34" xfId="0" applyFont="1" applyBorder="1" applyAlignment="1">
      <alignment wrapText="1"/>
    </xf>
    <xf numFmtId="43" fontId="9" fillId="5" borderId="20" xfId="3" applyFont="1" applyFill="1" applyBorder="1"/>
    <xf numFmtId="0" fontId="0" fillId="6" borderId="13" xfId="0" applyFill="1" applyBorder="1"/>
    <xf numFmtId="0" fontId="0" fillId="6" borderId="18" xfId="0" applyFill="1" applyBorder="1"/>
    <xf numFmtId="0" fontId="9" fillId="2" borderId="15" xfId="0" applyFont="1" applyFill="1" applyBorder="1"/>
    <xf numFmtId="0" fontId="0" fillId="6" borderId="14" xfId="0" applyFill="1" applyBorder="1"/>
    <xf numFmtId="8" fontId="9" fillId="2" borderId="14" xfId="0" applyNumberFormat="1" applyFont="1" applyFill="1" applyBorder="1"/>
    <xf numFmtId="8" fontId="9" fillId="2" borderId="15" xfId="0" applyNumberFormat="1" applyFont="1" applyFill="1" applyBorder="1"/>
    <xf numFmtId="0" fontId="0" fillId="6" borderId="16" xfId="0" applyFill="1" applyBorder="1"/>
    <xf numFmtId="167" fontId="9" fillId="2" borderId="17" xfId="2" applyNumberFormat="1" applyFont="1" applyFill="1" applyBorder="1"/>
    <xf numFmtId="0" fontId="9" fillId="2" borderId="17" xfId="0" applyFont="1" applyFill="1" applyBorder="1"/>
    <xf numFmtId="0" fontId="0" fillId="6" borderId="17" xfId="0" applyFill="1" applyBorder="1"/>
    <xf numFmtId="167" fontId="9" fillId="2" borderId="15" xfId="2" applyNumberFormat="1" applyFont="1" applyFill="1" applyBorder="1"/>
    <xf numFmtId="0" fontId="0" fillId="6" borderId="19" xfId="0" applyFill="1" applyBorder="1"/>
    <xf numFmtId="0" fontId="0" fillId="6" borderId="20" xfId="0" applyFill="1" applyBorder="1"/>
    <xf numFmtId="0" fontId="0" fillId="6" borderId="30" xfId="0" applyFill="1" applyBorder="1"/>
    <xf numFmtId="0" fontId="0" fillId="6" borderId="15" xfId="0" applyFill="1" applyBorder="1"/>
    <xf numFmtId="0" fontId="0" fillId="6" borderId="27" xfId="0" applyFill="1" applyBorder="1"/>
    <xf numFmtId="165" fontId="9" fillId="2" borderId="17" xfId="3" applyNumberFormat="1" applyFont="1" applyFill="1" applyBorder="1"/>
    <xf numFmtId="10" fontId="0" fillId="6" borderId="0" xfId="0" applyNumberFormat="1" applyFill="1"/>
    <xf numFmtId="0" fontId="0" fillId="6" borderId="21" xfId="0" applyFill="1" applyBorder="1"/>
    <xf numFmtId="166" fontId="9" fillId="6" borderId="22" xfId="3" applyNumberFormat="1" applyFont="1" applyFill="1" applyBorder="1"/>
    <xf numFmtId="0" fontId="0" fillId="6" borderId="22" xfId="0" applyFill="1" applyBorder="1"/>
    <xf numFmtId="0" fontId="0" fillId="6" borderId="4" xfId="0" applyFill="1" applyBorder="1"/>
    <xf numFmtId="9" fontId="9" fillId="3" borderId="33" xfId="3" applyNumberFormat="1" applyFont="1" applyFill="1" applyBorder="1"/>
    <xf numFmtId="43" fontId="0" fillId="6" borderId="0" xfId="0" applyNumberFormat="1" applyFill="1"/>
    <xf numFmtId="8" fontId="9" fillId="8" borderId="17" xfId="3" applyNumberFormat="1" applyFont="1" applyFill="1" applyBorder="1"/>
    <xf numFmtId="168" fontId="0" fillId="6" borderId="0" xfId="0" applyNumberFormat="1" applyFill="1"/>
    <xf numFmtId="9" fontId="9" fillId="8" borderId="23" xfId="3" applyNumberFormat="1" applyFont="1" applyFill="1" applyBorder="1"/>
    <xf numFmtId="169" fontId="0" fillId="6" borderId="0" xfId="0" applyNumberFormat="1" applyFill="1"/>
    <xf numFmtId="10" fontId="9" fillId="8" borderId="23" xfId="2" applyNumberFormat="1" applyFont="1" applyFill="1" applyBorder="1"/>
    <xf numFmtId="0" fontId="2" fillId="0" borderId="1" xfId="0" applyFont="1" applyBorder="1" applyAlignment="1">
      <alignment horizontal="center"/>
    </xf>
    <xf numFmtId="0" fontId="2" fillId="0" borderId="2" xfId="0" applyFont="1" applyBorder="1" applyAlignment="1">
      <alignment horizontal="center"/>
    </xf>
    <xf numFmtId="0" fontId="2" fillId="0" borderId="3" xfId="0" applyFont="1" applyBorder="1" applyAlignment="1">
      <alignment horizontal="center"/>
    </xf>
    <xf numFmtId="0" fontId="3" fillId="2" borderId="1" xfId="0" applyFont="1" applyFill="1" applyBorder="1" applyAlignment="1">
      <alignment horizontal="center"/>
    </xf>
    <xf numFmtId="0" fontId="3" fillId="2" borderId="2" xfId="0" applyFont="1" applyFill="1" applyBorder="1" applyAlignment="1">
      <alignment horizontal="center"/>
    </xf>
    <xf numFmtId="0" fontId="3" fillId="2" borderId="3" xfId="0" applyFont="1" applyFill="1" applyBorder="1" applyAlignment="1">
      <alignment horizontal="center"/>
    </xf>
    <xf numFmtId="0" fontId="4" fillId="0" borderId="5" xfId="0" applyFont="1" applyBorder="1" applyAlignment="1">
      <alignment vertical="top" wrapText="1"/>
    </xf>
    <xf numFmtId="0" fontId="5" fillId="0" borderId="6" xfId="0" applyFont="1" applyBorder="1" applyAlignment="1">
      <alignment vertical="top" wrapText="1"/>
    </xf>
    <xf numFmtId="0" fontId="5" fillId="0" borderId="7" xfId="0" applyFont="1" applyBorder="1" applyAlignment="1">
      <alignment vertical="top" wrapText="1"/>
    </xf>
    <xf numFmtId="0" fontId="5" fillId="0" borderId="8" xfId="0" applyFont="1" applyBorder="1" applyAlignment="1">
      <alignment vertical="top" wrapText="1"/>
    </xf>
    <xf numFmtId="0" fontId="5" fillId="0" borderId="0" xfId="0" applyFont="1" applyBorder="1" applyAlignment="1">
      <alignment vertical="top" wrapText="1"/>
    </xf>
    <xf numFmtId="0" fontId="5" fillId="0" borderId="9" xfId="0" applyFont="1" applyBorder="1" applyAlignment="1">
      <alignment vertical="top" wrapText="1"/>
    </xf>
    <xf numFmtId="0" fontId="5" fillId="0" borderId="10" xfId="0" applyFont="1" applyBorder="1" applyAlignment="1">
      <alignment vertical="top" wrapText="1"/>
    </xf>
    <xf numFmtId="0" fontId="5" fillId="0" borderId="11" xfId="0" applyFont="1" applyBorder="1" applyAlignment="1">
      <alignment vertical="top" wrapText="1"/>
    </xf>
    <xf numFmtId="0" fontId="5" fillId="0" borderId="12" xfId="0" applyFont="1" applyBorder="1" applyAlignment="1">
      <alignment vertical="top" wrapText="1"/>
    </xf>
    <xf numFmtId="0" fontId="0" fillId="6" borderId="31" xfId="0" applyFill="1" applyBorder="1" applyAlignment="1">
      <alignment horizontal="center"/>
    </xf>
    <xf numFmtId="0" fontId="0" fillId="6" borderId="19" xfId="0" applyFill="1" applyBorder="1" applyAlignment="1">
      <alignment horizontal="center"/>
    </xf>
    <xf numFmtId="0" fontId="0" fillId="6" borderId="32" xfId="0" applyFill="1" applyBorder="1" applyAlignment="1">
      <alignment horizontal="center"/>
    </xf>
    <xf numFmtId="0" fontId="0" fillId="6" borderId="13" xfId="0" applyFill="1" applyBorder="1" applyAlignment="1">
      <alignment horizontal="center"/>
    </xf>
    <xf numFmtId="0" fontId="0" fillId="6" borderId="14" xfId="0" applyFill="1" applyBorder="1" applyAlignment="1">
      <alignment horizontal="center"/>
    </xf>
    <xf numFmtId="0" fontId="0" fillId="6" borderId="15" xfId="0" applyFill="1" applyBorder="1" applyAlignment="1">
      <alignment horizontal="center"/>
    </xf>
    <xf numFmtId="0" fontId="0" fillId="6" borderId="21" xfId="0" applyFill="1" applyBorder="1" applyAlignment="1">
      <alignment horizontal="center"/>
    </xf>
    <xf numFmtId="0" fontId="0" fillId="6" borderId="29" xfId="0" applyFill="1" applyBorder="1" applyAlignment="1">
      <alignment horizontal="center"/>
    </xf>
    <xf numFmtId="0" fontId="0" fillId="6" borderId="28" xfId="0" applyFill="1" applyBorder="1" applyAlignment="1">
      <alignment horizontal="center"/>
    </xf>
    <xf numFmtId="0" fontId="0" fillId="6" borderId="22" xfId="0" applyFill="1" applyBorder="1" applyAlignment="1">
      <alignment horizontal="center"/>
    </xf>
    <xf numFmtId="0" fontId="0" fillId="6" borderId="23" xfId="0" applyFill="1" applyBorder="1" applyAlignment="1">
      <alignment horizontal="center"/>
    </xf>
    <xf numFmtId="0" fontId="0" fillId="6" borderId="24" xfId="0" applyFill="1" applyBorder="1" applyAlignment="1">
      <alignment horizontal="center"/>
    </xf>
    <xf numFmtId="0" fontId="0" fillId="6" borderId="25" xfId="0" applyFill="1" applyBorder="1" applyAlignment="1">
      <alignment horizontal="center"/>
    </xf>
    <xf numFmtId="0" fontId="0" fillId="6" borderId="26" xfId="0" applyFill="1" applyBorder="1" applyAlignment="1">
      <alignment horizontal="center"/>
    </xf>
    <xf numFmtId="10" fontId="9" fillId="3" borderId="0" xfId="2" applyNumberFormat="1" applyFont="1" applyFill="1"/>
    <xf numFmtId="175" fontId="0" fillId="6" borderId="4" xfId="1" applyNumberFormat="1" applyFont="1" applyFill="1" applyBorder="1"/>
    <xf numFmtId="43" fontId="0" fillId="6" borderId="4" xfId="0" applyNumberFormat="1" applyFill="1" applyBorder="1"/>
    <xf numFmtId="9" fontId="0" fillId="6" borderId="4" xfId="2" applyFont="1" applyFill="1" applyBorder="1"/>
    <xf numFmtId="0" fontId="0" fillId="6" borderId="4" xfId="0" applyFill="1" applyBorder="1" applyAlignment="1">
      <alignment horizontal="center"/>
    </xf>
    <xf numFmtId="0" fontId="0" fillId="6" borderId="4" xfId="0" applyFill="1" applyBorder="1" applyAlignment="1">
      <alignment horizontal="center" textRotation="45"/>
    </xf>
    <xf numFmtId="0" fontId="0" fillId="0" borderId="5" xfId="0" applyFont="1" applyBorder="1" applyAlignment="1">
      <alignment wrapText="1"/>
    </xf>
    <xf numFmtId="0" fontId="0" fillId="0" borderId="36" xfId="0" applyBorder="1" applyAlignment="1">
      <alignment horizontal="center"/>
    </xf>
    <xf numFmtId="0" fontId="0" fillId="0" borderId="25" xfId="0" applyBorder="1" applyAlignment="1">
      <alignment horizontal="center"/>
    </xf>
    <xf numFmtId="0" fontId="0" fillId="0" borderId="26" xfId="0" applyBorder="1" applyAlignment="1">
      <alignment horizontal="center"/>
    </xf>
    <xf numFmtId="9" fontId="9" fillId="2" borderId="8" xfId="2" applyFont="1" applyFill="1" applyBorder="1" applyAlignment="1">
      <alignment wrapText="1"/>
    </xf>
    <xf numFmtId="9" fontId="9" fillId="2" borderId="10" xfId="2" applyFont="1" applyFill="1" applyBorder="1" applyAlignment="1">
      <alignment wrapText="1"/>
    </xf>
    <xf numFmtId="9" fontId="9" fillId="3" borderId="37" xfId="3" applyNumberFormat="1" applyFont="1" applyFill="1" applyBorder="1"/>
    <xf numFmtId="43" fontId="9" fillId="3" borderId="11" xfId="3" applyFont="1" applyFill="1" applyBorder="1"/>
    <xf numFmtId="0" fontId="0" fillId="0" borderId="13" xfId="0" applyBorder="1" applyAlignment="1">
      <alignment horizontal="left"/>
    </xf>
    <xf numFmtId="0" fontId="0" fillId="0" borderId="16" xfId="0" applyBorder="1" applyAlignment="1">
      <alignment horizontal="left"/>
    </xf>
    <xf numFmtId="0" fontId="0" fillId="0" borderId="18" xfId="0" applyBorder="1" applyAlignment="1">
      <alignment horizontal="left"/>
    </xf>
    <xf numFmtId="9" fontId="9" fillId="2" borderId="4" xfId="2" applyFont="1" applyFill="1" applyBorder="1"/>
    <xf numFmtId="9" fontId="9" fillId="3" borderId="4" xfId="3" applyNumberFormat="1" applyFont="1" applyFill="1" applyBorder="1"/>
    <xf numFmtId="10" fontId="9" fillId="7" borderId="4" xfId="2" applyNumberFormat="1" applyFont="1" applyFill="1" applyBorder="1"/>
    <xf numFmtId="10" fontId="9" fillId="3" borderId="4" xfId="2" applyNumberFormat="1" applyFont="1" applyFill="1" applyBorder="1"/>
    <xf numFmtId="175" fontId="9" fillId="2" borderId="33" xfId="1" applyNumberFormat="1" applyFont="1" applyFill="1" applyBorder="1"/>
    <xf numFmtId="175" fontId="9" fillId="8" borderId="33" xfId="3" applyNumberFormat="1" applyFont="1" applyFill="1" applyBorder="1"/>
    <xf numFmtId="175" fontId="9" fillId="8" borderId="37" xfId="3" applyNumberFormat="1" applyFont="1" applyFill="1" applyBorder="1"/>
    <xf numFmtId="175" fontId="9" fillId="3" borderId="0" xfId="3" applyNumberFormat="1" applyFont="1" applyFill="1" applyBorder="1"/>
    <xf numFmtId="175" fontId="9" fillId="3" borderId="11" xfId="3" applyNumberFormat="1" applyFont="1" applyFill="1" applyBorder="1"/>
    <xf numFmtId="175" fontId="9" fillId="3" borderId="33" xfId="3" applyNumberFormat="1" applyFont="1" applyFill="1" applyBorder="1"/>
    <xf numFmtId="175" fontId="9" fillId="3" borderId="37" xfId="3" applyNumberFormat="1" applyFont="1" applyFill="1" applyBorder="1"/>
    <xf numFmtId="175" fontId="9" fillId="3" borderId="9" xfId="3" applyNumberFormat="1" applyFont="1" applyFill="1" applyBorder="1"/>
    <xf numFmtId="175" fontId="9" fillId="3" borderId="12" xfId="3" applyNumberFormat="1" applyFont="1" applyFill="1" applyBorder="1"/>
    <xf numFmtId="175" fontId="9" fillId="3" borderId="23" xfId="3" applyNumberFormat="1" applyFont="1" applyFill="1" applyBorder="1"/>
    <xf numFmtId="175" fontId="0" fillId="6" borderId="5" xfId="0" applyNumberFormat="1" applyFill="1" applyBorder="1"/>
    <xf numFmtId="175" fontId="0" fillId="6" borderId="6" xfId="0" applyNumberFormat="1" applyFill="1" applyBorder="1"/>
    <xf numFmtId="175" fontId="0" fillId="6" borderId="7" xfId="0" applyNumberFormat="1" applyFill="1" applyBorder="1"/>
    <xf numFmtId="175" fontId="0" fillId="6" borderId="8" xfId="0" applyNumberFormat="1" applyFill="1" applyBorder="1"/>
    <xf numFmtId="175" fontId="0" fillId="6" borderId="0" xfId="0" applyNumberFormat="1" applyFill="1" applyBorder="1"/>
    <xf numFmtId="175" fontId="0" fillId="6" borderId="9" xfId="0" applyNumberFormat="1" applyFill="1" applyBorder="1"/>
    <xf numFmtId="175" fontId="0" fillId="6" borderId="10" xfId="0" applyNumberFormat="1" applyFill="1" applyBorder="1"/>
    <xf numFmtId="175" fontId="0" fillId="6" borderId="11" xfId="0" applyNumberFormat="1" applyFill="1" applyBorder="1"/>
    <xf numFmtId="175" fontId="0" fillId="6" borderId="12" xfId="0" applyNumberFormat="1" applyFill="1" applyBorder="1"/>
    <xf numFmtId="10" fontId="9" fillId="7" borderId="20" xfId="2" applyNumberFormat="1" applyFont="1" applyFill="1" applyBorder="1"/>
    <xf numFmtId="9" fontId="9" fillId="3" borderId="15" xfId="2" applyFont="1" applyFill="1" applyBorder="1"/>
    <xf numFmtId="175" fontId="9" fillId="8" borderId="17" xfId="3" applyNumberFormat="1" applyFont="1" applyFill="1" applyBorder="1"/>
    <xf numFmtId="175" fontId="9" fillId="3" borderId="17" xfId="3" applyNumberFormat="1" applyFont="1" applyFill="1" applyBorder="1"/>
    <xf numFmtId="175" fontId="9" fillId="2" borderId="20" xfId="1" applyNumberFormat="1" applyFont="1" applyFill="1" applyBorder="1"/>
    <xf numFmtId="9" fontId="9" fillId="3" borderId="22" xfId="2" applyFont="1" applyFill="1" applyBorder="1"/>
    <xf numFmtId="9" fontId="9" fillId="3" borderId="23" xfId="2" applyFont="1" applyFill="1" applyBorder="1"/>
    <xf numFmtId="10" fontId="9" fillId="7" borderId="15" xfId="2" applyNumberFormat="1" applyFont="1" applyFill="1" applyBorder="1"/>
    <xf numFmtId="10" fontId="9" fillId="4" borderId="17" xfId="3" applyNumberFormat="1" applyFont="1" applyFill="1" applyBorder="1"/>
    <xf numFmtId="10" fontId="9" fillId="3" borderId="17" xfId="2" applyNumberFormat="1" applyFont="1" applyFill="1" applyBorder="1"/>
    <xf numFmtId="10" fontId="9" fillId="3" borderId="20" xfId="2" applyNumberFormat="1" applyFont="1" applyFill="1" applyBorder="1"/>
    <xf numFmtId="175" fontId="9" fillId="2" borderId="17" xfId="1" applyNumberFormat="1" applyFont="1" applyFill="1" applyBorder="1"/>
    <xf numFmtId="175" fontId="9" fillId="2" borderId="0" xfId="1" applyNumberFormat="1" applyFont="1" applyFill="1"/>
    <xf numFmtId="0" fontId="17" fillId="0" borderId="4" xfId="0" applyFont="1" applyBorder="1" applyAlignment="1">
      <alignment horizontal="left" vertical="center" wrapText="1" indent="6"/>
    </xf>
    <xf numFmtId="0" fontId="0" fillId="6" borderId="1" xfId="0" applyFill="1" applyBorder="1"/>
    <xf numFmtId="0" fontId="17" fillId="0" borderId="4" xfId="0" applyFont="1" applyBorder="1" applyAlignment="1">
      <alignment horizontal="center" vertical="center" wrapText="1"/>
    </xf>
    <xf numFmtId="0" fontId="0" fillId="6" borderId="4" xfId="0" applyFill="1" applyBorder="1" applyAlignment="1">
      <alignment horizontal="center" vertical="center" wrapText="1"/>
    </xf>
    <xf numFmtId="0" fontId="0" fillId="6" borderId="4" xfId="0" applyFill="1" applyBorder="1" applyAlignment="1">
      <alignment horizontal="center" wrapText="1"/>
    </xf>
    <xf numFmtId="0" fontId="0" fillId="6" borderId="5" xfId="0" applyFill="1" applyBorder="1" applyAlignment="1">
      <alignment horizontal="center" wrapText="1"/>
    </xf>
    <xf numFmtId="0" fontId="0" fillId="6" borderId="6" xfId="0" applyFill="1" applyBorder="1" applyAlignment="1">
      <alignment horizontal="center" wrapText="1"/>
    </xf>
    <xf numFmtId="0" fontId="0" fillId="6" borderId="7" xfId="0" applyFill="1" applyBorder="1" applyAlignment="1">
      <alignment horizontal="center" wrapText="1"/>
    </xf>
    <xf numFmtId="0" fontId="0" fillId="6" borderId="10" xfId="0" applyFill="1" applyBorder="1" applyAlignment="1">
      <alignment horizontal="center" wrapText="1"/>
    </xf>
    <xf numFmtId="0" fontId="0" fillId="6" borderId="11" xfId="0" applyFill="1" applyBorder="1" applyAlignment="1">
      <alignment horizontal="center" wrapText="1"/>
    </xf>
    <xf numFmtId="0" fontId="0" fillId="6" borderId="12" xfId="0" applyFill="1" applyBorder="1" applyAlignment="1">
      <alignment horizontal="center" wrapText="1"/>
    </xf>
  </cellXfs>
  <cellStyles count="11">
    <cellStyle name="Comma" xfId="3" builtinId="3"/>
    <cellStyle name="Comma 2" xfId="5" xr:uid="{00000000-0005-0000-0000-000001000000}"/>
    <cellStyle name="Comma 2 2" xfId="9" xr:uid="{00000000-0005-0000-0000-000002000000}"/>
    <cellStyle name="Comma 3" xfId="10" xr:uid="{00000000-0005-0000-0000-000003000000}"/>
    <cellStyle name="Currency" xfId="1" builtinId="4"/>
    <cellStyle name="Currency 2" xfId="6" xr:uid="{00000000-0005-0000-0000-000005000000}"/>
    <cellStyle name="Normal" xfId="0" builtinId="0"/>
    <cellStyle name="Normal 2" xfId="4" xr:uid="{00000000-0005-0000-0000-000007000000}"/>
    <cellStyle name="Normal 3" xfId="8" xr:uid="{00000000-0005-0000-0000-000008000000}"/>
    <cellStyle name="Percent" xfId="2" builtinId="5"/>
    <cellStyle name="Percent 2" xfId="7" xr:uid="{00000000-0005-0000-0000-00000A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EPS</a:t>
            </a:r>
            <a:r>
              <a:rPr lang="en-US" baseline="0"/>
              <a:t> at different debt weights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6"/>
          <c:order val="0"/>
          <c:tx>
            <c:strRef>
              <c:f>'Break-even EBIT'!$D$13</c:f>
              <c:strCache>
                <c:ptCount val="1"/>
                <c:pt idx="0">
                  <c:v>0%</c:v>
                </c:pt>
              </c:strCache>
            </c:strRef>
          </c:tx>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cat>
            <c:numRef>
              <c:f>'Break-even EBIT'!$E$12:$O$12</c:f>
              <c:numCache>
                <c:formatCode>"$"#,##0.00</c:formatCode>
                <c:ptCount val="11"/>
                <c:pt idx="0">
                  <c:v>0</c:v>
                </c:pt>
                <c:pt idx="1">
                  <c:v>250000</c:v>
                </c:pt>
                <c:pt idx="2">
                  <c:v>500000</c:v>
                </c:pt>
                <c:pt idx="3">
                  <c:v>750000</c:v>
                </c:pt>
                <c:pt idx="4">
                  <c:v>1000000</c:v>
                </c:pt>
                <c:pt idx="5">
                  <c:v>1250000</c:v>
                </c:pt>
                <c:pt idx="6">
                  <c:v>1500000</c:v>
                </c:pt>
                <c:pt idx="7">
                  <c:v>1750000</c:v>
                </c:pt>
                <c:pt idx="8">
                  <c:v>2000000</c:v>
                </c:pt>
                <c:pt idx="9">
                  <c:v>2250000</c:v>
                </c:pt>
                <c:pt idx="10">
                  <c:v>2500000</c:v>
                </c:pt>
              </c:numCache>
            </c:numRef>
          </c:cat>
          <c:val>
            <c:numRef>
              <c:f>'Break-even EBIT'!$E$13:$O$13</c:f>
              <c:numCache>
                <c:formatCode>"$"#,##0.00</c:formatCode>
                <c:ptCount val="11"/>
                <c:pt idx="0">
                  <c:v>0</c:v>
                </c:pt>
                <c:pt idx="1">
                  <c:v>0.15560246417163981</c:v>
                </c:pt>
                <c:pt idx="2">
                  <c:v>0.31120492834327962</c:v>
                </c:pt>
                <c:pt idx="3">
                  <c:v>0.46680739251491943</c:v>
                </c:pt>
                <c:pt idx="4">
                  <c:v>0.62240985668655924</c:v>
                </c:pt>
                <c:pt idx="5">
                  <c:v>0.77801232085819905</c:v>
                </c:pt>
                <c:pt idx="6">
                  <c:v>0.93361478502983886</c:v>
                </c:pt>
                <c:pt idx="7">
                  <c:v>1.0892172492014787</c:v>
                </c:pt>
                <c:pt idx="8">
                  <c:v>1.2448197133731185</c:v>
                </c:pt>
                <c:pt idx="9">
                  <c:v>1.4004221775447583</c:v>
                </c:pt>
                <c:pt idx="10">
                  <c:v>1.5560246417163981</c:v>
                </c:pt>
              </c:numCache>
            </c:numRef>
          </c:val>
          <c:smooth val="0"/>
          <c:extLst>
            <c:ext xmlns:c16="http://schemas.microsoft.com/office/drawing/2014/chart" uri="{C3380CC4-5D6E-409C-BE32-E72D297353CC}">
              <c16:uniqueId val="{00000006-E763-9744-AB92-DEA165F07FBC}"/>
            </c:ext>
          </c:extLst>
        </c:ser>
        <c:ser>
          <c:idx val="0"/>
          <c:order val="1"/>
          <c:tx>
            <c:strRef>
              <c:f>'Break-even EBIT'!$D$14</c:f>
              <c:strCache>
                <c:ptCount val="1"/>
                <c:pt idx="0">
                  <c:v>20%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'Break-even EBIT'!$E$12:$O$12</c:f>
              <c:numCache>
                <c:formatCode>"$"#,##0.00</c:formatCode>
                <c:ptCount val="11"/>
                <c:pt idx="0">
                  <c:v>0</c:v>
                </c:pt>
                <c:pt idx="1">
                  <c:v>250000</c:v>
                </c:pt>
                <c:pt idx="2">
                  <c:v>500000</c:v>
                </c:pt>
                <c:pt idx="3">
                  <c:v>750000</c:v>
                </c:pt>
                <c:pt idx="4">
                  <c:v>1000000</c:v>
                </c:pt>
                <c:pt idx="5">
                  <c:v>1250000</c:v>
                </c:pt>
                <c:pt idx="6">
                  <c:v>1500000</c:v>
                </c:pt>
                <c:pt idx="7">
                  <c:v>1750000</c:v>
                </c:pt>
                <c:pt idx="8">
                  <c:v>2000000</c:v>
                </c:pt>
                <c:pt idx="9">
                  <c:v>2250000</c:v>
                </c:pt>
                <c:pt idx="10">
                  <c:v>2500000</c:v>
                </c:pt>
              </c:numCache>
            </c:numRef>
          </c:cat>
          <c:val>
            <c:numRef>
              <c:f>'Break-even EBIT'!$E$14:$O$14</c:f>
              <c:numCache>
                <c:formatCode>"$"#,##0.00</c:formatCode>
                <c:ptCount val="11"/>
                <c:pt idx="0">
                  <c:v>-0.17156249999999995</c:v>
                </c:pt>
                <c:pt idx="1">
                  <c:v>2.2940580214549765E-2</c:v>
                </c:pt>
                <c:pt idx="2">
                  <c:v>0.21744366042909952</c:v>
                </c:pt>
                <c:pt idx="3">
                  <c:v>0.41194674064364928</c:v>
                </c:pt>
                <c:pt idx="4">
                  <c:v>0.60644982085819898</c:v>
                </c:pt>
                <c:pt idx="5">
                  <c:v>0.80095290107274864</c:v>
                </c:pt>
                <c:pt idx="6">
                  <c:v>0.9954559812872984</c:v>
                </c:pt>
                <c:pt idx="7">
                  <c:v>1.1899590615018483</c:v>
                </c:pt>
                <c:pt idx="8">
                  <c:v>1.3844621417163978</c:v>
                </c:pt>
                <c:pt idx="9">
                  <c:v>1.5789652219309476</c:v>
                </c:pt>
                <c:pt idx="10">
                  <c:v>1.7734683021454973</c:v>
                </c:pt>
              </c:numCache>
            </c:numRef>
          </c:val>
          <c:smooth val="0"/>
          <c:extLst>
            <c:ext xmlns:c16="http://schemas.microsoft.com/office/drawing/2014/chart" uri="{C3380CC4-5D6E-409C-BE32-E72D297353CC}">
              <c16:uniqueId val="{00000007-E763-9744-AB92-DEA165F07FBC}"/>
            </c:ext>
          </c:extLst>
        </c:ser>
        <c:ser>
          <c:idx val="1"/>
          <c:order val="2"/>
          <c:tx>
            <c:strRef>
              <c:f>'Break-even EBIT'!$D$15</c:f>
              <c:strCache>
                <c:ptCount val="1"/>
                <c:pt idx="0">
                  <c:v>40%</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'Break-even EBIT'!$E$15:$O$15</c:f>
              <c:numCache>
                <c:formatCode>"$"#,##0.00</c:formatCode>
                <c:ptCount val="11"/>
                <c:pt idx="0">
                  <c:v>-0.45749999999999991</c:v>
                </c:pt>
                <c:pt idx="1">
                  <c:v>-0.19816255971393362</c:v>
                </c:pt>
                <c:pt idx="2">
                  <c:v>6.117488057213271E-2</c:v>
                </c:pt>
                <c:pt idx="3">
                  <c:v>0.32051232085819903</c:v>
                </c:pt>
                <c:pt idx="4">
                  <c:v>0.57984976114426545</c:v>
                </c:pt>
                <c:pt idx="5">
                  <c:v>0.83918720143033176</c:v>
                </c:pt>
                <c:pt idx="6">
                  <c:v>1.0985246417163981</c:v>
                </c:pt>
                <c:pt idx="7">
                  <c:v>1.3578620820024645</c:v>
                </c:pt>
                <c:pt idx="8">
                  <c:v>1.6171995222885307</c:v>
                </c:pt>
                <c:pt idx="9">
                  <c:v>1.8765369625745969</c:v>
                </c:pt>
                <c:pt idx="10">
                  <c:v>2.1358744028606633</c:v>
                </c:pt>
              </c:numCache>
            </c:numRef>
          </c:val>
          <c:smooth val="0"/>
          <c:extLst>
            <c:ext xmlns:c16="http://schemas.microsoft.com/office/drawing/2014/chart" uri="{C3380CC4-5D6E-409C-BE32-E72D297353CC}">
              <c16:uniqueId val="{00000008-E763-9744-AB92-DEA165F07FBC}"/>
            </c:ext>
          </c:extLst>
        </c:ser>
        <c:ser>
          <c:idx val="2"/>
          <c:order val="3"/>
          <c:tx>
            <c:strRef>
              <c:f>'Break-even EBIT'!$D$16</c:f>
              <c:strCache>
                <c:ptCount val="1"/>
                <c:pt idx="0">
                  <c:v>60%</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f>'Break-even EBIT'!$E$16:$O$16</c:f>
              <c:numCache>
                <c:formatCode>"$"#,##0.00</c:formatCode>
                <c:ptCount val="11"/>
                <c:pt idx="0">
                  <c:v>-1.0293749999999997</c:v>
                </c:pt>
                <c:pt idx="1">
                  <c:v>-0.64036883957090018</c:v>
                </c:pt>
                <c:pt idx="2">
                  <c:v>-0.25136267914180077</c:v>
                </c:pt>
                <c:pt idx="3">
                  <c:v>0.1376434812872987</c:v>
                </c:pt>
                <c:pt idx="4">
                  <c:v>0.52664964171639816</c:v>
                </c:pt>
                <c:pt idx="5">
                  <c:v>0.91565580214549769</c:v>
                </c:pt>
                <c:pt idx="6">
                  <c:v>1.3046619625745972</c:v>
                </c:pt>
                <c:pt idx="7">
                  <c:v>1.6936681230036965</c:v>
                </c:pt>
                <c:pt idx="8">
                  <c:v>2.0826742834327958</c:v>
                </c:pt>
                <c:pt idx="9">
                  <c:v>2.4716804438618953</c:v>
                </c:pt>
                <c:pt idx="10">
                  <c:v>2.8606866042909944</c:v>
                </c:pt>
              </c:numCache>
            </c:numRef>
          </c:val>
          <c:smooth val="0"/>
          <c:extLst>
            <c:ext xmlns:c16="http://schemas.microsoft.com/office/drawing/2014/chart" uri="{C3380CC4-5D6E-409C-BE32-E72D297353CC}">
              <c16:uniqueId val="{00000009-E763-9744-AB92-DEA165F07FBC}"/>
            </c:ext>
          </c:extLst>
        </c:ser>
        <c:ser>
          <c:idx val="3"/>
          <c:order val="4"/>
          <c:tx>
            <c:strRef>
              <c:f>'Break-even EBIT'!$D$17</c:f>
              <c:strCache>
                <c:ptCount val="1"/>
                <c:pt idx="0">
                  <c:v>80%</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val>
            <c:numRef>
              <c:f>'Break-even EBIT'!$E$17:$O$17</c:f>
              <c:numCache>
                <c:formatCode>"$"#,##0.00</c:formatCode>
                <c:ptCount val="11"/>
                <c:pt idx="0">
                  <c:v>-2.7450000000000001</c:v>
                </c:pt>
                <c:pt idx="1">
                  <c:v>-1.9669876791418013</c:v>
                </c:pt>
                <c:pt idx="2">
                  <c:v>-1.188975358283602</c:v>
                </c:pt>
                <c:pt idx="3">
                  <c:v>-0.41096303742540286</c:v>
                </c:pt>
                <c:pt idx="4">
                  <c:v>0.36704928343279636</c:v>
                </c:pt>
                <c:pt idx="5">
                  <c:v>1.1450616042909956</c:v>
                </c:pt>
                <c:pt idx="6">
                  <c:v>1.9230739251491946</c:v>
                </c:pt>
                <c:pt idx="7">
                  <c:v>2.7010862460073937</c:v>
                </c:pt>
                <c:pt idx="8">
                  <c:v>3.4790985668655936</c:v>
                </c:pt>
                <c:pt idx="9">
                  <c:v>4.2571108877237922</c:v>
                </c:pt>
                <c:pt idx="10">
                  <c:v>5.0351232085819921</c:v>
                </c:pt>
              </c:numCache>
            </c:numRef>
          </c:val>
          <c:smooth val="0"/>
          <c:extLst>
            <c:ext xmlns:c16="http://schemas.microsoft.com/office/drawing/2014/chart" uri="{C3380CC4-5D6E-409C-BE32-E72D297353CC}">
              <c16:uniqueId val="{0000000A-E763-9744-AB92-DEA165F07FBC}"/>
            </c:ext>
          </c:extLst>
        </c:ser>
        <c:dLbls>
          <c:showLegendKey val="0"/>
          <c:showVal val="0"/>
          <c:showCatName val="0"/>
          <c:showSerName val="0"/>
          <c:showPercent val="0"/>
          <c:showBubbleSize val="0"/>
        </c:dLbls>
        <c:marker val="1"/>
        <c:smooth val="0"/>
        <c:axId val="1706511968"/>
        <c:axId val="1706513600"/>
      </c:lineChart>
      <c:catAx>
        <c:axId val="170651196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EBIT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0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6513600"/>
        <c:crosses val="autoZero"/>
        <c:auto val="1"/>
        <c:lblAlgn val="ctr"/>
        <c:lblOffset val="100"/>
        <c:noMultiLvlLbl val="0"/>
      </c:catAx>
      <c:valAx>
        <c:axId val="17065136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EPS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6511968"/>
        <c:crosses val="autoZero"/>
        <c:crossBetween val="between"/>
      </c:valAx>
      <c:spPr>
        <a:noFill/>
        <a:ln>
          <a:noFill/>
        </a:ln>
        <a:effectLst/>
      </c:spPr>
    </c:plotArea>
    <c:legend>
      <c:legendPos val="b"/>
      <c:layout>
        <c:manualLayout>
          <c:xMode val="edge"/>
          <c:yMode val="edge"/>
          <c:x val="0.42053711256207454"/>
          <c:y val="0.95122080630388228"/>
          <c:w val="0.15892577487585091"/>
          <c:h val="3.8117129906753117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'Optimal Capital Structure'!$A$4</c:f>
              <c:strCache>
                <c:ptCount val="1"/>
                <c:pt idx="0">
                  <c:v>WACC</c:v>
                </c:pt>
              </c:strCache>
            </c:strRef>
          </c:tx>
          <c:spPr>
            <a:ln w="28575" cap="rnd">
              <a:solidFill>
                <a:schemeClr val="accent1"/>
              </a:solidFill>
              <a:round/>
            </a:ln>
            <a:effectLst/>
          </c:spPr>
          <c:marker>
            <c:symbol val="none"/>
          </c:marker>
          <c:cat>
            <c:numRef>
              <c:f>'Optimal Capital Structure'!$B$3:$L$3</c:f>
              <c:numCache>
                <c:formatCode>0%</c:formatCode>
                <c:ptCount val="11"/>
                <c:pt idx="0">
                  <c:v>0</c:v>
                </c:pt>
                <c:pt idx="1">
                  <c:v>9.9999999999999978E-2</c:v>
                </c:pt>
                <c:pt idx="2">
                  <c:v>0.19999999999999996</c:v>
                </c:pt>
                <c:pt idx="3">
                  <c:v>0.30000000000000004</c:v>
                </c:pt>
                <c:pt idx="4">
                  <c:v>0.4</c:v>
                </c:pt>
                <c:pt idx="5">
                  <c:v>0.5</c:v>
                </c:pt>
                <c:pt idx="6">
                  <c:v>0.6</c:v>
                </c:pt>
                <c:pt idx="7">
                  <c:v>0.7</c:v>
                </c:pt>
                <c:pt idx="8">
                  <c:v>0.8</c:v>
                </c:pt>
                <c:pt idx="9">
                  <c:v>0.9</c:v>
                </c:pt>
                <c:pt idx="10">
                  <c:v>1</c:v>
                </c:pt>
              </c:numCache>
            </c:numRef>
          </c:cat>
          <c:val>
            <c:numRef>
              <c:f>'Optimal Capital Structure'!$B$4:$L$4</c:f>
              <c:numCache>
                <c:formatCode>0.00%</c:formatCode>
                <c:ptCount val="11"/>
                <c:pt idx="0">
                  <c:v>6.6258878841594038E-2</c:v>
                </c:pt>
                <c:pt idx="1">
                  <c:v>6.4042130128507999E-2</c:v>
                </c:pt>
                <c:pt idx="2">
                  <c:v>6.2009055196290026E-2</c:v>
                </c:pt>
                <c:pt idx="3">
                  <c:v>6.0383411842057859E-2</c:v>
                </c:pt>
                <c:pt idx="4">
                  <c:v>5.9475111491232933E-2</c:v>
                </c:pt>
                <c:pt idx="5">
                  <c:v>5.9707903148196947E-2</c:v>
                </c:pt>
                <c:pt idx="6">
                  <c:v>6.1655409534537631E-2</c:v>
                </c:pt>
                <c:pt idx="7">
                  <c:v>6.6087954263168117E-2</c:v>
                </c:pt>
                <c:pt idx="8">
                  <c:v>7.4033315872127831E-2</c:v>
                </c:pt>
                <c:pt idx="9">
                  <c:v>8.6855437550947129E-2</c:v>
                </c:pt>
                <c:pt idx="10">
                  <c:v>0.10635626488936173</c:v>
                </c:pt>
              </c:numCache>
            </c:numRef>
          </c:val>
          <c:smooth val="0"/>
          <c:extLst>
            <c:ext xmlns:c16="http://schemas.microsoft.com/office/drawing/2014/chart" uri="{C3380CC4-5D6E-409C-BE32-E72D297353CC}">
              <c16:uniqueId val="{00000000-FFE0-9845-BB62-D3A67E6A951E}"/>
            </c:ext>
          </c:extLst>
        </c:ser>
        <c:dLbls>
          <c:showLegendKey val="0"/>
          <c:showVal val="0"/>
          <c:showCatName val="0"/>
          <c:showSerName val="0"/>
          <c:showPercent val="0"/>
          <c:showBubbleSize val="0"/>
        </c:dLbls>
        <c:smooth val="0"/>
        <c:axId val="1655469264"/>
        <c:axId val="1710805280"/>
      </c:lineChart>
      <c:catAx>
        <c:axId val="165546926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Debt Weight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0805280"/>
        <c:crosses val="autoZero"/>
        <c:auto val="1"/>
        <c:lblAlgn val="ctr"/>
        <c:lblOffset val="100"/>
        <c:noMultiLvlLbl val="0"/>
      </c:catAx>
      <c:valAx>
        <c:axId val="171080528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WACC</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54692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Spin" dx="22" fmlaLink="$P$2" max="30000" page="10" val="5"/>
</file>

<file path=xl/ctrlProps/ctrlProp3.xml><?xml version="1.0" encoding="utf-8"?>
<formControlPr xmlns="http://schemas.microsoft.com/office/spreadsheetml/2009/9/main" objectType="Spin" dx="22" fmlaLink="$P$3" max="30000" page="10" val="25"/>
</file>

<file path=xl/ctrlProps/ctrlProp4.xml><?xml version="1.0" encoding="utf-8"?>
<formControlPr xmlns="http://schemas.microsoft.com/office/spreadsheetml/2009/9/main" objectType="Spin" dx="22" fmlaLink="$P$4" max="30000" page="10" val="39"/>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457200</xdr:colOff>
          <xdr:row>8</xdr:row>
          <xdr:rowOff>0</xdr:rowOff>
        </xdr:from>
        <xdr:to>
          <xdr:col>2</xdr:col>
          <xdr:colOff>63500</xdr:colOff>
          <xdr:row>10</xdr:row>
          <xdr:rowOff>177800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200-000003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Calculate Breakeven EPS</a:t>
              </a:r>
            </a:p>
          </xdr:txBody>
        </xdr:sp>
        <xdr:clientData fPrintsWithSheet="0"/>
      </xdr:twoCellAnchor>
    </mc:Choice>
    <mc:Fallback/>
  </mc:AlternateContent>
  <xdr:twoCellAnchor>
    <xdr:from>
      <xdr:col>2</xdr:col>
      <xdr:colOff>408213</xdr:colOff>
      <xdr:row>19</xdr:row>
      <xdr:rowOff>119138</xdr:rowOff>
    </xdr:from>
    <xdr:to>
      <xdr:col>18</xdr:col>
      <xdr:colOff>21166</xdr:colOff>
      <xdr:row>58</xdr:row>
      <xdr:rowOff>63500</xdr:rowOff>
    </xdr:to>
    <xdr:graphicFrame macro="">
      <xdr:nvGraphicFramePr>
        <xdr:cNvPr id="2" name="Chart 1">
          <a:extLst>
            <a:ext uri="{FF2B5EF4-FFF2-40B4-BE49-F238E27FC236}">
              <a16:creationId xmlns:a16="http://schemas.microsoft.com/office/drawing/2014/main" id="{C11B35E5-DA3E-994F-8314-5D73382ADB3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681568</xdr:colOff>
          <xdr:row>0</xdr:row>
          <xdr:rowOff>65617</xdr:rowOff>
        </xdr:from>
        <xdr:to>
          <xdr:col>16</xdr:col>
          <xdr:colOff>275168</xdr:colOff>
          <xdr:row>1</xdr:row>
          <xdr:rowOff>285750</xdr:rowOff>
        </xdr:to>
        <xdr:sp macro="" textlink="">
          <xdr:nvSpPr>
            <xdr:cNvPr id="6145" name="Spinner 1" hidden="1">
              <a:extLst>
                <a:ext uri="{63B3BB69-23CF-44E3-9099-C40C66FF867C}">
                  <a14:compatExt spid="_x0000_s6145"/>
                </a:ext>
                <a:ext uri="{FF2B5EF4-FFF2-40B4-BE49-F238E27FC236}">
                  <a16:creationId xmlns:a16="http://schemas.microsoft.com/office/drawing/2014/main" id="{00000000-0008-0000-0300-0000011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668866</xdr:colOff>
          <xdr:row>1</xdr:row>
          <xdr:rowOff>309034</xdr:rowOff>
        </xdr:from>
        <xdr:to>
          <xdr:col>16</xdr:col>
          <xdr:colOff>275167</xdr:colOff>
          <xdr:row>2</xdr:row>
          <xdr:rowOff>412750</xdr:rowOff>
        </xdr:to>
        <xdr:sp macro="" textlink="">
          <xdr:nvSpPr>
            <xdr:cNvPr id="6146" name="Spinner 2" hidden="1">
              <a:extLst>
                <a:ext uri="{63B3BB69-23CF-44E3-9099-C40C66FF867C}">
                  <a14:compatExt spid="_x0000_s6146"/>
                </a:ext>
                <a:ext uri="{FF2B5EF4-FFF2-40B4-BE49-F238E27FC236}">
                  <a16:creationId xmlns:a16="http://schemas.microsoft.com/office/drawing/2014/main" id="{00000000-0008-0000-0300-0000021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6</xdr:col>
      <xdr:colOff>6350</xdr:colOff>
      <xdr:row>8</xdr:row>
      <xdr:rowOff>38100</xdr:rowOff>
    </xdr:from>
    <xdr:to>
      <xdr:col>13</xdr:col>
      <xdr:colOff>977900</xdr:colOff>
      <xdr:row>24</xdr:row>
      <xdr:rowOff>12700</xdr:rowOff>
    </xdr:to>
    <xdr:graphicFrame macro="">
      <xdr:nvGraphicFramePr>
        <xdr:cNvPr id="4" name="Chart 3">
          <a:extLst>
            <a:ext uri="{FF2B5EF4-FFF2-40B4-BE49-F238E27FC236}">
              <a16:creationId xmlns:a16="http://schemas.microsoft.com/office/drawing/2014/main" id="{BCF48C9E-4D52-B241-9789-6D8742E21EA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14</xdr:col>
          <xdr:colOff>685799</xdr:colOff>
          <xdr:row>3</xdr:row>
          <xdr:rowOff>25400</xdr:rowOff>
        </xdr:from>
        <xdr:to>
          <xdr:col>16</xdr:col>
          <xdr:colOff>275166</xdr:colOff>
          <xdr:row>5</xdr:row>
          <xdr:rowOff>84667</xdr:rowOff>
        </xdr:to>
        <xdr:sp macro="" textlink="">
          <xdr:nvSpPr>
            <xdr:cNvPr id="6148" name="Spinner 4" hidden="1">
              <a:extLst>
                <a:ext uri="{63B3BB69-23CF-44E3-9099-C40C66FF867C}">
                  <a14:compatExt spid="_x0000_s6148"/>
                </a:ext>
                <a:ext uri="{FF2B5EF4-FFF2-40B4-BE49-F238E27FC236}">
                  <a16:creationId xmlns:a16="http://schemas.microsoft.com/office/drawing/2014/main" id="{00000000-0008-0000-0300-0000031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39"/>
  <sheetViews>
    <sheetView workbookViewId="0">
      <selection activeCell="A39" sqref="A39"/>
    </sheetView>
  </sheetViews>
  <sheetFormatPr baseColWidth="10" defaultColWidth="8.83203125" defaultRowHeight="15"/>
  <cols>
    <col min="1" max="1" width="24.6640625" customWidth="1"/>
    <col min="11" max="11" width="41.5" customWidth="1"/>
    <col min="12" max="12" width="15.33203125" customWidth="1"/>
    <col min="13" max="13" width="31.83203125" customWidth="1"/>
    <col min="14" max="14" width="23.1640625" customWidth="1"/>
    <col min="15" max="15" width="27.5" customWidth="1"/>
  </cols>
  <sheetData>
    <row r="1" spans="1:14" ht="16">
      <c r="A1" s="78" t="s">
        <v>79</v>
      </c>
      <c r="B1" s="79"/>
      <c r="C1" s="79"/>
      <c r="D1" s="79"/>
      <c r="E1" s="79"/>
      <c r="F1" s="80"/>
    </row>
    <row r="2" spans="1:14" ht="16">
      <c r="A2" s="1"/>
      <c r="B2" s="1"/>
      <c r="C2" s="1"/>
      <c r="D2" s="1"/>
    </row>
    <row r="3" spans="1:14" ht="16">
      <c r="A3" s="1" t="s">
        <v>0</v>
      </c>
      <c r="B3" s="81"/>
      <c r="C3" s="82"/>
      <c r="D3" s="82"/>
      <c r="E3" s="82"/>
      <c r="F3" s="83"/>
    </row>
    <row r="4" spans="1:14" ht="16">
      <c r="A4" s="1"/>
      <c r="B4" s="1"/>
      <c r="C4" s="1"/>
      <c r="D4" s="1"/>
    </row>
    <row r="5" spans="1:14" ht="16">
      <c r="A5" s="1" t="s">
        <v>1</v>
      </c>
      <c r="B5" s="2">
        <f>M23</f>
        <v>0</v>
      </c>
      <c r="C5" s="1"/>
      <c r="D5" s="1"/>
    </row>
    <row r="6" spans="1:14" ht="16">
      <c r="A6" s="1"/>
      <c r="B6" s="1"/>
      <c r="C6" s="1"/>
      <c r="D6" s="1"/>
    </row>
    <row r="7" spans="1:14" ht="16">
      <c r="A7" s="1" t="s">
        <v>2</v>
      </c>
      <c r="B7" s="84"/>
      <c r="C7" s="85"/>
      <c r="D7" s="85"/>
      <c r="E7" s="85"/>
      <c r="F7" s="86"/>
    </row>
    <row r="8" spans="1:14" ht="16">
      <c r="A8" s="1"/>
      <c r="B8" s="87"/>
      <c r="C8" s="88"/>
      <c r="D8" s="88"/>
      <c r="E8" s="88"/>
      <c r="F8" s="89"/>
    </row>
    <row r="9" spans="1:14" ht="16">
      <c r="A9" s="3"/>
      <c r="B9" s="87"/>
      <c r="C9" s="88"/>
      <c r="D9" s="88"/>
      <c r="E9" s="88"/>
      <c r="F9" s="89"/>
    </row>
    <row r="10" spans="1:14" ht="16">
      <c r="A10" s="3"/>
      <c r="B10" s="87"/>
      <c r="C10" s="88"/>
      <c r="D10" s="88"/>
      <c r="E10" s="88"/>
      <c r="F10" s="89"/>
    </row>
    <row r="11" spans="1:14" ht="16">
      <c r="A11" s="1"/>
      <c r="B11" s="90"/>
      <c r="C11" s="91"/>
      <c r="D11" s="91"/>
      <c r="E11" s="91"/>
      <c r="F11" s="92"/>
    </row>
    <row r="12" spans="1:14" ht="16">
      <c r="A12" s="1"/>
      <c r="B12" s="1"/>
      <c r="C12" s="1"/>
      <c r="D12" s="1"/>
    </row>
    <row r="13" spans="1:14" ht="16">
      <c r="A13" s="4" t="s">
        <v>3</v>
      </c>
      <c r="B13" s="5"/>
      <c r="C13" s="5"/>
      <c r="D13" s="5"/>
      <c r="E13" s="6"/>
      <c r="F13" s="7"/>
    </row>
    <row r="14" spans="1:14" ht="16">
      <c r="A14" s="8"/>
      <c r="B14" s="9"/>
      <c r="C14" s="9"/>
      <c r="D14" s="9"/>
      <c r="E14" s="9"/>
    </row>
    <row r="15" spans="1:14" ht="16">
      <c r="A15" s="8"/>
      <c r="B15" s="9"/>
      <c r="C15" s="10" t="s">
        <v>4</v>
      </c>
      <c r="D15" s="9"/>
      <c r="E15" s="9"/>
    </row>
    <row r="16" spans="1:14" ht="16">
      <c r="A16" s="8"/>
      <c r="B16" s="9"/>
      <c r="C16" s="11" t="s">
        <v>5</v>
      </c>
      <c r="D16" s="9"/>
      <c r="E16" s="9"/>
      <c r="K16" s="21" t="s">
        <v>65</v>
      </c>
      <c r="L16" s="21" t="s">
        <v>66</v>
      </c>
      <c r="M16" s="21" t="s">
        <v>67</v>
      </c>
      <c r="N16" s="21" t="s">
        <v>68</v>
      </c>
    </row>
    <row r="17" spans="1:14" ht="16">
      <c r="A17" s="1"/>
      <c r="B17" s="1"/>
      <c r="C17" s="1"/>
      <c r="D17" s="1"/>
      <c r="E17" s="1"/>
      <c r="K17" s="22" t="s">
        <v>69</v>
      </c>
      <c r="L17" s="22">
        <v>25</v>
      </c>
      <c r="M17" s="22"/>
      <c r="N17" s="23"/>
    </row>
    <row r="18" spans="1:14" ht="16">
      <c r="A18" s="12"/>
      <c r="C18" s="13" t="s">
        <v>6</v>
      </c>
      <c r="D18" s="1"/>
      <c r="E18" s="1"/>
      <c r="K18" s="22" t="s">
        <v>76</v>
      </c>
      <c r="L18" s="22">
        <v>8</v>
      </c>
      <c r="M18" s="22"/>
      <c r="N18" s="23"/>
    </row>
    <row r="19" spans="1:14" ht="16">
      <c r="A19" s="1"/>
      <c r="C19" s="1" t="s">
        <v>7</v>
      </c>
      <c r="D19" s="1"/>
      <c r="E19" s="1"/>
      <c r="K19" s="22" t="s">
        <v>75</v>
      </c>
      <c r="L19" s="22">
        <v>6</v>
      </c>
      <c r="M19" s="22"/>
      <c r="N19" s="23"/>
    </row>
    <row r="20" spans="1:14" ht="16">
      <c r="A20" s="1"/>
      <c r="C20" s="1"/>
      <c r="D20" s="1"/>
      <c r="E20" s="1"/>
      <c r="K20" s="22" t="s">
        <v>74</v>
      </c>
      <c r="L20" s="22">
        <v>6</v>
      </c>
      <c r="M20" s="22"/>
      <c r="N20" s="23"/>
    </row>
    <row r="21" spans="1:14" ht="16">
      <c r="A21" s="14"/>
      <c r="C21" s="1" t="s">
        <v>8</v>
      </c>
      <c r="D21" s="1"/>
      <c r="E21" s="1"/>
      <c r="K21" s="22" t="s">
        <v>70</v>
      </c>
      <c r="L21" s="22">
        <v>5</v>
      </c>
      <c r="M21" s="22"/>
      <c r="N21" s="23"/>
    </row>
    <row r="22" spans="1:14" ht="76">
      <c r="A22" s="1"/>
      <c r="C22" s="27" t="s">
        <v>9</v>
      </c>
      <c r="D22" s="27"/>
      <c r="E22" s="27"/>
      <c r="F22" s="20"/>
      <c r="K22" s="22" t="s">
        <v>71</v>
      </c>
      <c r="L22" s="22">
        <v>0</v>
      </c>
      <c r="M22" s="22"/>
      <c r="N22" s="23"/>
    </row>
    <row r="23" spans="1:14" ht="16">
      <c r="A23" s="1"/>
      <c r="C23" s="1"/>
      <c r="D23" s="1"/>
      <c r="E23" s="1"/>
      <c r="K23" s="22" t="s">
        <v>72</v>
      </c>
      <c r="L23" s="24">
        <f>SUM(L17:L22)</f>
        <v>50</v>
      </c>
      <c r="M23" s="24">
        <f>SUM(M17:M22)</f>
        <v>0</v>
      </c>
      <c r="N23" s="25"/>
    </row>
    <row r="24" spans="1:14" ht="16">
      <c r="A24" s="1"/>
      <c r="C24" s="1"/>
      <c r="D24" s="1"/>
      <c r="E24" s="1"/>
    </row>
    <row r="25" spans="1:14" ht="16">
      <c r="A25" s="15"/>
      <c r="C25" s="1" t="s">
        <v>10</v>
      </c>
      <c r="D25" s="1"/>
      <c r="E25" s="1"/>
    </row>
    <row r="26" spans="1:14" ht="16">
      <c r="A26" s="1"/>
      <c r="C26" s="1" t="s">
        <v>11</v>
      </c>
      <c r="D26" s="1"/>
      <c r="E26" s="1"/>
    </row>
    <row r="27" spans="1:14" ht="16">
      <c r="A27" s="1"/>
      <c r="C27" s="1"/>
      <c r="D27" s="1"/>
      <c r="E27" s="1"/>
    </row>
    <row r="28" spans="1:14" ht="16">
      <c r="A28" s="16"/>
      <c r="C28" s="1" t="s">
        <v>12</v>
      </c>
      <c r="D28" s="1"/>
      <c r="E28" s="1"/>
    </row>
    <row r="29" spans="1:14" ht="16">
      <c r="A29" s="1"/>
      <c r="C29" s="1" t="s">
        <v>13</v>
      </c>
      <c r="D29" s="1"/>
      <c r="E29" s="1"/>
    </row>
    <row r="30" spans="1:14" ht="16">
      <c r="A30" s="1"/>
      <c r="C30" s="1"/>
      <c r="D30" s="1"/>
      <c r="E30" s="1"/>
    </row>
    <row r="31" spans="1:14" ht="16">
      <c r="A31" s="36"/>
      <c r="C31" s="1" t="s">
        <v>84</v>
      </c>
      <c r="D31" s="1"/>
      <c r="E31" s="1"/>
    </row>
    <row r="32" spans="1:14" ht="16">
      <c r="D32" s="1"/>
      <c r="E32" s="1"/>
    </row>
    <row r="33" spans="1:5" ht="16">
      <c r="A33" s="17"/>
      <c r="C33" s="1" t="s">
        <v>58</v>
      </c>
      <c r="D33" s="1"/>
      <c r="E33" s="1"/>
    </row>
    <row r="34" spans="1:5" ht="16">
      <c r="A34" s="1"/>
      <c r="C34" s="1"/>
      <c r="D34" s="1"/>
      <c r="E34" s="1"/>
    </row>
    <row r="36" spans="1:5" ht="16">
      <c r="A36" s="35"/>
      <c r="B36" s="32"/>
      <c r="C36" s="33" t="s">
        <v>82</v>
      </c>
    </row>
    <row r="37" spans="1:5" ht="16">
      <c r="A37" s="34"/>
      <c r="B37" s="32"/>
      <c r="C37" s="33" t="s">
        <v>83</v>
      </c>
    </row>
    <row r="39" spans="1:5">
      <c r="A39" s="37"/>
      <c r="C39" t="s">
        <v>85</v>
      </c>
    </row>
  </sheetData>
  <mergeCells count="3">
    <mergeCell ref="A1:F1"/>
    <mergeCell ref="B3:F3"/>
    <mergeCell ref="B7:F1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I27"/>
  <sheetViews>
    <sheetView zoomScaleNormal="100" workbookViewId="0">
      <selection activeCell="E9" sqref="E9"/>
    </sheetView>
  </sheetViews>
  <sheetFormatPr baseColWidth="10" defaultColWidth="9.1640625" defaultRowHeight="15"/>
  <cols>
    <col min="1" max="1" width="9.1640625" style="28"/>
    <col min="2" max="2" width="27.6640625" style="28" customWidth="1"/>
    <col min="3" max="3" width="15.1640625" style="28" customWidth="1"/>
    <col min="4" max="4" width="27.83203125" style="28" customWidth="1"/>
    <col min="5" max="5" width="15.33203125" style="28" customWidth="1"/>
    <col min="6" max="6" width="20.83203125" style="28" customWidth="1"/>
    <col min="7" max="7" width="16.83203125" style="28" customWidth="1"/>
    <col min="8" max="8" width="20.5" style="28" customWidth="1"/>
    <col min="9" max="9" width="16" style="28" customWidth="1"/>
    <col min="10" max="10" width="9.1640625" style="28"/>
    <col min="11" max="11" width="27.5" style="28" customWidth="1"/>
    <col min="12" max="12" width="28" style="28" customWidth="1"/>
    <col min="13" max="16384" width="9.1640625" style="28"/>
  </cols>
  <sheetData>
    <row r="1" spans="2:9" ht="16" thickBot="1"/>
    <row r="2" spans="2:9">
      <c r="B2" s="49" t="s">
        <v>42</v>
      </c>
      <c r="C2" s="154">
        <f>WACC(C15,C19,E9,E19,G12,G19,I7)</f>
        <v>5.9707711208279612E-2</v>
      </c>
    </row>
    <row r="3" spans="2:9" ht="16" thickBot="1">
      <c r="B3" s="50" t="s">
        <v>62</v>
      </c>
      <c r="C3" s="147">
        <f>WACC(C15,E25,E9,G25,0,0,0)</f>
        <v>8.4564177124783188E-2</v>
      </c>
    </row>
    <row r="4" spans="2:9" ht="16" thickBot="1"/>
    <row r="5" spans="2:9" ht="16" thickBot="1">
      <c r="B5" s="96" t="s">
        <v>41</v>
      </c>
      <c r="C5" s="97"/>
      <c r="D5" s="97"/>
      <c r="E5" s="97"/>
      <c r="F5" s="97"/>
      <c r="G5" s="97"/>
      <c r="H5" s="97"/>
      <c r="I5" s="98"/>
    </row>
    <row r="6" spans="2:9" ht="16" thickBot="1">
      <c r="B6" s="99" t="s">
        <v>17</v>
      </c>
      <c r="C6" s="100"/>
      <c r="D6" s="101" t="s">
        <v>18</v>
      </c>
      <c r="E6" s="100"/>
      <c r="F6" s="102" t="s">
        <v>16</v>
      </c>
      <c r="G6" s="102"/>
      <c r="H6" s="101" t="s">
        <v>15</v>
      </c>
      <c r="I6" s="103"/>
    </row>
    <row r="7" spans="2:9">
      <c r="B7" s="49" t="s">
        <v>24</v>
      </c>
      <c r="C7" s="51">
        <v>0.9</v>
      </c>
      <c r="D7" s="52" t="s">
        <v>21</v>
      </c>
      <c r="E7" s="53">
        <v>40</v>
      </c>
      <c r="F7" s="49" t="s">
        <v>20</v>
      </c>
      <c r="G7" s="54">
        <v>933</v>
      </c>
      <c r="H7" s="52" t="s">
        <v>55</v>
      </c>
      <c r="I7" s="38">
        <v>0.39</v>
      </c>
    </row>
    <row r="8" spans="2:9">
      <c r="B8" s="55" t="s">
        <v>26</v>
      </c>
      <c r="C8" s="56">
        <v>0.03</v>
      </c>
      <c r="D8" s="28" t="s">
        <v>22</v>
      </c>
      <c r="E8" s="159">
        <v>2</v>
      </c>
      <c r="F8" s="55" t="s">
        <v>19</v>
      </c>
      <c r="G8" s="158">
        <v>1000</v>
      </c>
      <c r="H8" s="28" t="s">
        <v>14</v>
      </c>
      <c r="I8" s="56">
        <v>0.04</v>
      </c>
    </row>
    <row r="9" spans="2:9">
      <c r="B9" s="55" t="s">
        <v>25</v>
      </c>
      <c r="C9" s="56">
        <v>8.5000000000000006E-2</v>
      </c>
      <c r="D9" s="28" t="s">
        <v>30</v>
      </c>
      <c r="E9" s="107">
        <f>E8/((1-I8)*E7)</f>
        <v>5.2083333333333336E-2</v>
      </c>
      <c r="F9" s="55" t="s">
        <v>29</v>
      </c>
      <c r="G9" s="57">
        <v>2</v>
      </c>
      <c r="I9" s="58"/>
    </row>
    <row r="10" spans="2:9" ht="16" thickBot="1">
      <c r="B10" s="50" t="s">
        <v>77</v>
      </c>
      <c r="C10" s="147">
        <f>CAPM(C7,C8,C9)</f>
        <v>7.9500000000000015E-2</v>
      </c>
      <c r="D10" s="74"/>
      <c r="F10" s="55" t="s">
        <v>27</v>
      </c>
      <c r="G10" s="56">
        <v>4.4999999999999998E-2</v>
      </c>
      <c r="I10" s="58"/>
    </row>
    <row r="11" spans="2:9">
      <c r="B11" s="49" t="s">
        <v>23</v>
      </c>
      <c r="C11" s="59">
        <v>0.04</v>
      </c>
      <c r="F11" s="55" t="s">
        <v>28</v>
      </c>
      <c r="G11" s="57">
        <v>12</v>
      </c>
      <c r="I11" s="58"/>
    </row>
    <row r="12" spans="2:9">
      <c r="B12" s="55" t="s">
        <v>22</v>
      </c>
      <c r="C12" s="159">
        <v>1.25</v>
      </c>
      <c r="F12" s="55" t="s">
        <v>31</v>
      </c>
      <c r="G12" s="155">
        <f>RATE(G11*G9, (G8*G10)/G9, -G7*(1-I8), G8)*G9</f>
        <v>5.7129995741969156E-2</v>
      </c>
      <c r="I12" s="58"/>
    </row>
    <row r="13" spans="2:9">
      <c r="B13" s="55" t="s">
        <v>21</v>
      </c>
      <c r="C13" s="159">
        <v>25</v>
      </c>
      <c r="F13" s="55"/>
      <c r="G13" s="58"/>
      <c r="I13" s="58"/>
    </row>
    <row r="14" spans="2:9">
      <c r="B14" s="55" t="s">
        <v>78</v>
      </c>
      <c r="C14" s="156">
        <f>(C12*(1+C11))/(C13*(1-I8))+C11</f>
        <v>9.4166666666666676E-2</v>
      </c>
      <c r="F14" s="55"/>
      <c r="G14" s="58"/>
      <c r="I14" s="58"/>
    </row>
    <row r="15" spans="2:9" ht="16" thickBot="1">
      <c r="B15" s="50" t="s">
        <v>64</v>
      </c>
      <c r="C15" s="157">
        <f>AVERAGE(C10,C14)</f>
        <v>8.6833333333333346E-2</v>
      </c>
      <c r="D15" s="60"/>
      <c r="E15" s="60"/>
      <c r="F15" s="50"/>
      <c r="G15" s="61"/>
      <c r="H15" s="60"/>
      <c r="I15" s="61"/>
    </row>
    <row r="17" spans="2:9" ht="16" thickBot="1">
      <c r="B17" s="104" t="s">
        <v>32</v>
      </c>
      <c r="C17" s="105"/>
      <c r="D17" s="105"/>
      <c r="E17" s="105"/>
      <c r="F17" s="105"/>
      <c r="G17" s="106"/>
    </row>
    <row r="18" spans="2:9" ht="16" thickBot="1">
      <c r="B18" s="96" t="s">
        <v>17</v>
      </c>
      <c r="C18" s="98"/>
      <c r="D18" s="62" t="s">
        <v>18</v>
      </c>
      <c r="E18" s="63"/>
      <c r="F18" s="49" t="s">
        <v>16</v>
      </c>
      <c r="G18" s="64"/>
    </row>
    <row r="19" spans="2:9">
      <c r="B19" s="49" t="s">
        <v>39</v>
      </c>
      <c r="C19" s="148">
        <f>C22/(C22+E22+G22)</f>
        <v>0.4673685817299647</v>
      </c>
      <c r="D19" s="49" t="s">
        <v>40</v>
      </c>
      <c r="E19" s="148">
        <f>E22/(C22+E22+G22)</f>
        <v>3.2651008875360488E-2</v>
      </c>
      <c r="F19" s="52" t="s">
        <v>38</v>
      </c>
      <c r="G19" s="148">
        <f>G22/(C22+E22+G22)</f>
        <v>0.49998040939467481</v>
      </c>
      <c r="H19" s="72"/>
    </row>
    <row r="20" spans="2:9">
      <c r="B20" s="55" t="s">
        <v>34</v>
      </c>
      <c r="C20" s="65">
        <v>458050</v>
      </c>
      <c r="D20" s="55" t="s">
        <v>34</v>
      </c>
      <c r="E20" s="65">
        <v>20000</v>
      </c>
      <c r="F20" s="28" t="s">
        <v>33</v>
      </c>
      <c r="G20" s="65">
        <v>13130</v>
      </c>
    </row>
    <row r="21" spans="2:9">
      <c r="B21" s="55" t="s">
        <v>20</v>
      </c>
      <c r="C21" s="149">
        <f>C13</f>
        <v>25</v>
      </c>
      <c r="D21" s="55" t="s">
        <v>20</v>
      </c>
      <c r="E21" s="73">
        <f>E7</f>
        <v>40</v>
      </c>
      <c r="F21" s="28" t="s">
        <v>20</v>
      </c>
      <c r="G21" s="73">
        <f>G7</f>
        <v>933</v>
      </c>
    </row>
    <row r="22" spans="2:9">
      <c r="B22" s="55" t="s">
        <v>36</v>
      </c>
      <c r="C22" s="150">
        <f>C21*C20</f>
        <v>11451250</v>
      </c>
      <c r="D22" s="55" t="s">
        <v>37</v>
      </c>
      <c r="E22" s="39">
        <f>E21*E20</f>
        <v>800000</v>
      </c>
      <c r="F22" s="28" t="s">
        <v>35</v>
      </c>
      <c r="G22" s="39">
        <f>G21*G20</f>
        <v>12250290</v>
      </c>
      <c r="I22" s="66"/>
    </row>
    <row r="23" spans="2:9" ht="16" thickBot="1">
      <c r="B23" s="50" t="s">
        <v>60</v>
      </c>
      <c r="C23" s="151">
        <v>8000000</v>
      </c>
      <c r="D23" s="50" t="s">
        <v>61</v>
      </c>
      <c r="E23" s="151">
        <v>1400000</v>
      </c>
      <c r="F23" s="60" t="s">
        <v>59</v>
      </c>
      <c r="G23" s="151">
        <v>5000000</v>
      </c>
    </row>
    <row r="24" spans="2:9" ht="16" thickBot="1">
      <c r="B24" s="93" t="s">
        <v>73</v>
      </c>
      <c r="C24" s="94"/>
      <c r="D24" s="94"/>
      <c r="E24" s="94"/>
      <c r="F24" s="94"/>
      <c r="G24" s="95"/>
    </row>
    <row r="25" spans="2:9" ht="16" thickBot="1">
      <c r="B25" s="67"/>
      <c r="C25" s="68"/>
      <c r="D25" s="69" t="s">
        <v>86</v>
      </c>
      <c r="E25" s="152">
        <f>C22/(C22+E22)</f>
        <v>0.93470054076114684</v>
      </c>
      <c r="F25" s="69" t="s">
        <v>40</v>
      </c>
      <c r="G25" s="153">
        <f>E22/(C22+E22)</f>
        <v>6.5299459238853177E-2</v>
      </c>
    </row>
    <row r="26" spans="2:9">
      <c r="G26" s="18"/>
      <c r="I26" s="18"/>
    </row>
    <row r="27" spans="2:9">
      <c r="G27" s="19"/>
    </row>
  </sheetData>
  <mergeCells count="8">
    <mergeCell ref="B24:G24"/>
    <mergeCell ref="B5:I5"/>
    <mergeCell ref="B6:C6"/>
    <mergeCell ref="D6:E6"/>
    <mergeCell ref="F6:G6"/>
    <mergeCell ref="H6:I6"/>
    <mergeCell ref="B17:G17"/>
    <mergeCell ref="B18:C18"/>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O20"/>
  <sheetViews>
    <sheetView tabSelected="1" zoomScaleNormal="60" workbookViewId="0">
      <selection activeCell="B6" sqref="B6"/>
    </sheetView>
  </sheetViews>
  <sheetFormatPr baseColWidth="10" defaultColWidth="9.1640625" defaultRowHeight="15"/>
  <cols>
    <col min="1" max="1" width="19" style="30" customWidth="1"/>
    <col min="2" max="2" width="16.5" style="28" bestFit="1" customWidth="1"/>
    <col min="3" max="3" width="11.33203125" style="28" customWidth="1"/>
    <col min="4" max="5" width="12.6640625" style="28" customWidth="1"/>
    <col min="6" max="6" width="18.83203125" style="28" customWidth="1"/>
    <col min="7" max="7" width="17.1640625" style="28" customWidth="1"/>
    <col min="8" max="8" width="23.6640625" style="28" customWidth="1"/>
    <col min="9" max="9" width="25.6640625" style="28" customWidth="1"/>
    <col min="10" max="10" width="21.33203125" style="28" customWidth="1"/>
    <col min="11" max="13" width="15.33203125" style="28" bestFit="1" customWidth="1"/>
    <col min="14" max="14" width="14.5" style="28" customWidth="1"/>
    <col min="15" max="15" width="14" style="28" bestFit="1" customWidth="1"/>
    <col min="16" max="16" width="15.83203125" style="28" customWidth="1"/>
    <col min="17" max="16384" width="9.1640625" style="28"/>
  </cols>
  <sheetData>
    <row r="1" spans="1:15" ht="16" thickBot="1">
      <c r="A1" s="29"/>
      <c r="B1" s="29"/>
      <c r="C1" s="29"/>
    </row>
    <row r="2" spans="1:15" ht="17" thickBot="1">
      <c r="A2" s="45" t="s">
        <v>47</v>
      </c>
      <c r="B2" s="137">
        <f>WACC!C22+WACC!E22+WACC!G22</f>
        <v>24501540</v>
      </c>
      <c r="D2" s="113" t="s">
        <v>44</v>
      </c>
      <c r="E2" s="114" t="s">
        <v>45</v>
      </c>
      <c r="F2" s="115" t="s">
        <v>34</v>
      </c>
      <c r="G2" s="114" t="s">
        <v>43</v>
      </c>
      <c r="H2" s="115" t="s">
        <v>48</v>
      </c>
      <c r="I2" s="114" t="s">
        <v>80</v>
      </c>
      <c r="J2" s="116" t="s">
        <v>46</v>
      </c>
    </row>
    <row r="3" spans="1:15" ht="33" thickBot="1">
      <c r="A3" s="46" t="s">
        <v>63</v>
      </c>
      <c r="B3" s="137">
        <f>WACC!C20/WACC!C19</f>
        <v>980061.60000000009</v>
      </c>
      <c r="D3" s="117">
        <f>0</f>
        <v>0</v>
      </c>
      <c r="E3" s="71">
        <f>1-D3</f>
        <v>1</v>
      </c>
      <c r="F3" s="26">
        <f>E3*$B$3</f>
        <v>980061.60000000009</v>
      </c>
      <c r="G3" s="128">
        <v>1102569.3000000094</v>
      </c>
      <c r="H3" s="131">
        <f>$B$2*$B$5*D3</f>
        <v>0</v>
      </c>
      <c r="I3" s="133">
        <f>(G3-H3)*(1-$B$4)</f>
        <v>672567.27300000575</v>
      </c>
      <c r="J3" s="135">
        <f>I3/F3</f>
        <v>0.6862500000000058</v>
      </c>
      <c r="L3" s="28">
        <v>1102569.3000000101</v>
      </c>
    </row>
    <row r="4" spans="1:15" ht="31.5" customHeight="1" thickBot="1">
      <c r="A4" s="46" t="s">
        <v>81</v>
      </c>
      <c r="B4" s="75">
        <f>WACC!I7</f>
        <v>0.39</v>
      </c>
      <c r="D4" s="117">
        <f>D3+0.2</f>
        <v>0.2</v>
      </c>
      <c r="E4" s="71">
        <f t="shared" ref="E4:E8" si="0">1-D4</f>
        <v>0.8</v>
      </c>
      <c r="F4" s="26">
        <f t="shared" ref="F4:F8" si="1">E4*$B$3</f>
        <v>784049.28000000014</v>
      </c>
      <c r="G4" s="129">
        <f>G3</f>
        <v>1102569.3000000094</v>
      </c>
      <c r="H4" s="131">
        <f t="shared" ref="H4:H8" si="2">$B$2*$B$5*D4</f>
        <v>220513.86000000002</v>
      </c>
      <c r="I4" s="133">
        <f t="shared" ref="I4:I8" si="3">(G4-H4)*(1-$B$4)</f>
        <v>538053.81840000569</v>
      </c>
      <c r="J4" s="135">
        <f t="shared" ref="J4:J8" si="4">I4/F4</f>
        <v>0.68625000000000713</v>
      </c>
    </row>
    <row r="5" spans="1:15" ht="17" thickBot="1">
      <c r="A5" s="45" t="s">
        <v>87</v>
      </c>
      <c r="B5" s="77">
        <f>WACC!G10</f>
        <v>4.4999999999999998E-2</v>
      </c>
      <c r="D5" s="117">
        <f t="shared" ref="D5:D7" si="5">D4+0.2</f>
        <v>0.4</v>
      </c>
      <c r="E5" s="71">
        <f t="shared" si="0"/>
        <v>0.6</v>
      </c>
      <c r="F5" s="26">
        <f t="shared" si="1"/>
        <v>588036.96000000008</v>
      </c>
      <c r="G5" s="129">
        <f t="shared" ref="G5:G8" si="6">G4</f>
        <v>1102569.3000000094</v>
      </c>
      <c r="H5" s="131">
        <f t="shared" si="2"/>
        <v>441027.72000000003</v>
      </c>
      <c r="I5" s="133">
        <f t="shared" si="3"/>
        <v>403540.3638000057</v>
      </c>
      <c r="J5" s="135">
        <f t="shared" si="4"/>
        <v>0.68625000000000957</v>
      </c>
    </row>
    <row r="6" spans="1:15" ht="17" thickBot="1">
      <c r="A6" s="47" t="s">
        <v>49</v>
      </c>
      <c r="B6" s="48">
        <f>J3-J4</f>
        <v>-1.3322676295501878E-15</v>
      </c>
      <c r="D6" s="117">
        <f t="shared" si="5"/>
        <v>0.60000000000000009</v>
      </c>
      <c r="E6" s="71">
        <f t="shared" si="0"/>
        <v>0.39999999999999991</v>
      </c>
      <c r="F6" s="26">
        <f t="shared" si="1"/>
        <v>392024.63999999996</v>
      </c>
      <c r="G6" s="129">
        <f t="shared" si="6"/>
        <v>1102569.3000000094</v>
      </c>
      <c r="H6" s="131">
        <f t="shared" si="2"/>
        <v>661541.58000000007</v>
      </c>
      <c r="I6" s="133">
        <f t="shared" si="3"/>
        <v>269026.90920000564</v>
      </c>
      <c r="J6" s="135">
        <f t="shared" si="4"/>
        <v>0.68625000000001446</v>
      </c>
    </row>
    <row r="7" spans="1:15">
      <c r="D7" s="117">
        <f t="shared" si="5"/>
        <v>0.8</v>
      </c>
      <c r="E7" s="71">
        <f t="shared" si="0"/>
        <v>0.19999999999999996</v>
      </c>
      <c r="F7" s="26">
        <f t="shared" si="1"/>
        <v>196012.31999999998</v>
      </c>
      <c r="G7" s="129">
        <f t="shared" si="6"/>
        <v>1102569.3000000094</v>
      </c>
      <c r="H7" s="131">
        <f t="shared" si="2"/>
        <v>882055.44000000006</v>
      </c>
      <c r="I7" s="133">
        <f t="shared" si="3"/>
        <v>134513.45460000567</v>
      </c>
      <c r="J7" s="135">
        <f t="shared" si="4"/>
        <v>0.686250000000029</v>
      </c>
    </row>
    <row r="8" spans="1:15">
      <c r="D8" s="118">
        <f>D7+0.199</f>
        <v>0.99900000000000011</v>
      </c>
      <c r="E8" s="119">
        <f t="shared" si="0"/>
        <v>9.9999999999988987E-4</v>
      </c>
      <c r="F8" s="120">
        <f t="shared" si="1"/>
        <v>980.06159999989211</v>
      </c>
      <c r="G8" s="130">
        <f t="shared" si="6"/>
        <v>1102569.3000000094</v>
      </c>
      <c r="H8" s="132">
        <f t="shared" si="2"/>
        <v>1101466.7307000002</v>
      </c>
      <c r="I8" s="134">
        <f t="shared" si="3"/>
        <v>672.56727300559407</v>
      </c>
      <c r="J8" s="136">
        <f t="shared" si="4"/>
        <v>0.6862500000057834</v>
      </c>
    </row>
    <row r="11" spans="1:15">
      <c r="E11" s="111" t="s">
        <v>43</v>
      </c>
      <c r="F11" s="111"/>
      <c r="G11" s="111"/>
      <c r="H11" s="111"/>
      <c r="I11" s="111"/>
      <c r="J11" s="111"/>
      <c r="K11" s="111"/>
      <c r="L11" s="111"/>
      <c r="M11" s="111"/>
      <c r="N11" s="111"/>
      <c r="O11" s="111"/>
    </row>
    <row r="12" spans="1:15">
      <c r="D12" s="109">
        <f>J3</f>
        <v>0.6862500000000058</v>
      </c>
      <c r="E12" s="108">
        <v>0</v>
      </c>
      <c r="F12" s="108">
        <v>250000</v>
      </c>
      <c r="G12" s="108">
        <f>F12+250000</f>
        <v>500000</v>
      </c>
      <c r="H12" s="108">
        <f>G12+250000</f>
        <v>750000</v>
      </c>
      <c r="I12" s="108">
        <f t="shared" ref="I12:O12" si="7">H12+250000</f>
        <v>1000000</v>
      </c>
      <c r="J12" s="108">
        <f t="shared" si="7"/>
        <v>1250000</v>
      </c>
      <c r="K12" s="108">
        <f t="shared" si="7"/>
        <v>1500000</v>
      </c>
      <c r="L12" s="108">
        <f t="shared" si="7"/>
        <v>1750000</v>
      </c>
      <c r="M12" s="108">
        <f t="shared" si="7"/>
        <v>2000000</v>
      </c>
      <c r="N12" s="108">
        <f t="shared" si="7"/>
        <v>2250000</v>
      </c>
      <c r="O12" s="108">
        <f t="shared" si="7"/>
        <v>2500000</v>
      </c>
    </row>
    <row r="13" spans="1:15">
      <c r="C13" s="112" t="s">
        <v>91</v>
      </c>
      <c r="D13" s="110">
        <v>0</v>
      </c>
      <c r="E13" s="138">
        <f t="dataTable" ref="E13:O18" dt2D="1" dtr="1" r1="G3" r2="D3"/>
        <v>0</v>
      </c>
      <c r="F13" s="139">
        <v>0.15560246417163981</v>
      </c>
      <c r="G13" s="139">
        <v>0.31120492834327962</v>
      </c>
      <c r="H13" s="139">
        <v>0.46680739251491943</v>
      </c>
      <c r="I13" s="139">
        <v>0.62240985668655924</v>
      </c>
      <c r="J13" s="139">
        <v>0.77801232085819905</v>
      </c>
      <c r="K13" s="139">
        <v>0.93361478502983886</v>
      </c>
      <c r="L13" s="139">
        <v>1.0892172492014787</v>
      </c>
      <c r="M13" s="139">
        <v>1.2448197133731185</v>
      </c>
      <c r="N13" s="139">
        <v>1.4004221775447583</v>
      </c>
      <c r="O13" s="140">
        <v>1.5560246417163981</v>
      </c>
    </row>
    <row r="14" spans="1:15">
      <c r="C14" s="112"/>
      <c r="D14" s="110">
        <v>0.2</v>
      </c>
      <c r="E14" s="141">
        <v>-0.17156249999999995</v>
      </c>
      <c r="F14" s="142">
        <v>2.2940580214549765E-2</v>
      </c>
      <c r="G14" s="142">
        <v>0.21744366042909952</v>
      </c>
      <c r="H14" s="142">
        <v>0.41194674064364928</v>
      </c>
      <c r="I14" s="142">
        <v>0.60644982085819898</v>
      </c>
      <c r="J14" s="142">
        <v>0.80095290107274864</v>
      </c>
      <c r="K14" s="142">
        <v>0.9954559812872984</v>
      </c>
      <c r="L14" s="142">
        <v>1.1899590615018483</v>
      </c>
      <c r="M14" s="142">
        <v>1.3844621417163978</v>
      </c>
      <c r="N14" s="142">
        <v>1.5789652219309476</v>
      </c>
      <c r="O14" s="143">
        <v>1.7734683021454973</v>
      </c>
    </row>
    <row r="15" spans="1:15">
      <c r="C15" s="112"/>
      <c r="D15" s="110">
        <v>0.4</v>
      </c>
      <c r="E15" s="141">
        <v>-0.45749999999999991</v>
      </c>
      <c r="F15" s="142">
        <v>-0.19816255971393362</v>
      </c>
      <c r="G15" s="142">
        <v>6.117488057213271E-2</v>
      </c>
      <c r="H15" s="142">
        <v>0.32051232085819903</v>
      </c>
      <c r="I15" s="142">
        <v>0.57984976114426545</v>
      </c>
      <c r="J15" s="142">
        <v>0.83918720143033176</v>
      </c>
      <c r="K15" s="142">
        <v>1.0985246417163981</v>
      </c>
      <c r="L15" s="142">
        <v>1.3578620820024645</v>
      </c>
      <c r="M15" s="142">
        <v>1.6171995222885307</v>
      </c>
      <c r="N15" s="142">
        <v>1.8765369625745969</v>
      </c>
      <c r="O15" s="143">
        <v>2.1358744028606633</v>
      </c>
    </row>
    <row r="16" spans="1:15">
      <c r="A16" s="28"/>
      <c r="C16" s="112"/>
      <c r="D16" s="110">
        <v>0.6</v>
      </c>
      <c r="E16" s="141">
        <v>-1.0293749999999997</v>
      </c>
      <c r="F16" s="142">
        <v>-0.64036883957090018</v>
      </c>
      <c r="G16" s="142">
        <v>-0.25136267914180077</v>
      </c>
      <c r="H16" s="142">
        <v>0.1376434812872987</v>
      </c>
      <c r="I16" s="142">
        <v>0.52664964171639816</v>
      </c>
      <c r="J16" s="142">
        <v>0.91565580214549769</v>
      </c>
      <c r="K16" s="142">
        <v>1.3046619625745972</v>
      </c>
      <c r="L16" s="142">
        <v>1.6936681230036965</v>
      </c>
      <c r="M16" s="142">
        <v>2.0826742834327958</v>
      </c>
      <c r="N16" s="142">
        <v>2.4716804438618953</v>
      </c>
      <c r="O16" s="143">
        <v>2.8606866042909944</v>
      </c>
    </row>
    <row r="17" spans="1:15">
      <c r="A17" s="28"/>
      <c r="C17" s="112"/>
      <c r="D17" s="110">
        <v>0.8</v>
      </c>
      <c r="E17" s="141">
        <v>-2.7450000000000001</v>
      </c>
      <c r="F17" s="142">
        <v>-1.9669876791418013</v>
      </c>
      <c r="G17" s="142">
        <v>-1.188975358283602</v>
      </c>
      <c r="H17" s="142">
        <v>-0.41096303742540286</v>
      </c>
      <c r="I17" s="142">
        <v>0.36704928343279636</v>
      </c>
      <c r="J17" s="142">
        <v>1.1450616042909956</v>
      </c>
      <c r="K17" s="142">
        <v>1.9230739251491946</v>
      </c>
      <c r="L17" s="142">
        <v>2.7010862460073937</v>
      </c>
      <c r="M17" s="142">
        <v>3.4790985668655936</v>
      </c>
      <c r="N17" s="142">
        <v>4.2571108877237922</v>
      </c>
      <c r="O17" s="143">
        <v>5.0351232085819921</v>
      </c>
    </row>
    <row r="18" spans="1:15">
      <c r="A18" s="28"/>
      <c r="C18" s="112"/>
      <c r="D18" s="70">
        <v>0.99</v>
      </c>
      <c r="E18" s="144">
        <v>-67.938749999999942</v>
      </c>
      <c r="F18" s="145">
        <v>-52.378503582835975</v>
      </c>
      <c r="G18" s="145">
        <v>-36.818257165672009</v>
      </c>
      <c r="H18" s="145">
        <v>-21.258010748508038</v>
      </c>
      <c r="I18" s="145">
        <v>-5.6977643313440698</v>
      </c>
      <c r="J18" s="145">
        <v>9.8624820858198969</v>
      </c>
      <c r="K18" s="145">
        <v>25.422728502983865</v>
      </c>
      <c r="L18" s="145">
        <v>40.982974920147832</v>
      </c>
      <c r="M18" s="145">
        <v>56.543221337311799</v>
      </c>
      <c r="N18" s="145">
        <v>72.103467754475773</v>
      </c>
      <c r="O18" s="146">
        <v>87.663714171639739</v>
      </c>
    </row>
    <row r="19" spans="1:15">
      <c r="A19" s="28"/>
    </row>
    <row r="20" spans="1:15">
      <c r="A20" s="31"/>
    </row>
  </sheetData>
  <mergeCells count="2">
    <mergeCell ref="E11:O11"/>
    <mergeCell ref="C13:C18"/>
  </mergeCells>
  <pageMargins left="0.7" right="0.7" top="0.75" bottom="0.75" header="0.3" footer="0.3"/>
  <pageSetup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Breakeven_EPS">
                <anchor moveWithCells="1" sizeWithCells="1">
                  <from>
                    <xdr:col>0</xdr:col>
                    <xdr:colOff>457200</xdr:colOff>
                    <xdr:row>8</xdr:row>
                    <xdr:rowOff>0</xdr:rowOff>
                  </from>
                  <to>
                    <xdr:col>2</xdr:col>
                    <xdr:colOff>63500</xdr:colOff>
                    <xdr:row>10</xdr:row>
                    <xdr:rowOff>177800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P8"/>
  <sheetViews>
    <sheetView zoomScale="120" zoomScaleNormal="120" workbookViewId="0">
      <selection activeCell="R3" sqref="R3"/>
    </sheetView>
  </sheetViews>
  <sheetFormatPr baseColWidth="10" defaultColWidth="9.1640625" defaultRowHeight="15"/>
  <cols>
    <col min="1" max="1" width="28" style="28" customWidth="1"/>
    <col min="2" max="2" width="10" style="28" bestFit="1" customWidth="1"/>
    <col min="3" max="13" width="9.1640625" style="28"/>
    <col min="14" max="14" width="30" style="28" customWidth="1"/>
    <col min="15" max="16384" width="9.1640625" style="28"/>
  </cols>
  <sheetData>
    <row r="1" spans="1:16" ht="16" thickBot="1"/>
    <row r="2" spans="1:16" ht="33" thickBot="1">
      <c r="A2" s="121" t="s">
        <v>50</v>
      </c>
      <c r="B2" s="124">
        <v>1</v>
      </c>
      <c r="C2" s="124">
        <v>0.9</v>
      </c>
      <c r="D2" s="124">
        <v>0.8</v>
      </c>
      <c r="E2" s="124">
        <v>0.7</v>
      </c>
      <c r="F2" s="124">
        <v>0.6</v>
      </c>
      <c r="G2" s="124">
        <v>0.5</v>
      </c>
      <c r="H2" s="124">
        <v>0.4</v>
      </c>
      <c r="I2" s="124">
        <v>0.3</v>
      </c>
      <c r="J2" s="124">
        <v>0.2</v>
      </c>
      <c r="K2" s="124">
        <v>0.1</v>
      </c>
      <c r="L2" s="124">
        <v>0</v>
      </c>
      <c r="N2" s="41" t="s">
        <v>57</v>
      </c>
      <c r="O2" s="44">
        <f>P2/100</f>
        <v>0.05</v>
      </c>
      <c r="P2" s="42">
        <v>5</v>
      </c>
    </row>
    <row r="3" spans="1:16" ht="33" thickBot="1">
      <c r="A3" s="122" t="s">
        <v>51</v>
      </c>
      <c r="B3" s="125">
        <f>1-B2</f>
        <v>0</v>
      </c>
      <c r="C3" s="125">
        <f t="shared" ref="C3:L3" si="0">1-C2</f>
        <v>9.9999999999999978E-2</v>
      </c>
      <c r="D3" s="125">
        <f t="shared" si="0"/>
        <v>0.19999999999999996</v>
      </c>
      <c r="E3" s="125">
        <f t="shared" si="0"/>
        <v>0.30000000000000004</v>
      </c>
      <c r="F3" s="125">
        <f t="shared" si="0"/>
        <v>0.4</v>
      </c>
      <c r="G3" s="125">
        <f t="shared" si="0"/>
        <v>0.5</v>
      </c>
      <c r="H3" s="125">
        <f t="shared" si="0"/>
        <v>0.6</v>
      </c>
      <c r="I3" s="125">
        <f t="shared" si="0"/>
        <v>0.7</v>
      </c>
      <c r="J3" s="125">
        <f t="shared" si="0"/>
        <v>0.8</v>
      </c>
      <c r="K3" s="125">
        <f t="shared" si="0"/>
        <v>0.9</v>
      </c>
      <c r="L3" s="125">
        <f t="shared" si="0"/>
        <v>1</v>
      </c>
      <c r="N3" s="41" t="s">
        <v>56</v>
      </c>
      <c r="O3" s="44">
        <f>P3/100</f>
        <v>0.25</v>
      </c>
      <c r="P3" s="42">
        <v>25</v>
      </c>
    </row>
    <row r="4" spans="1:16" ht="16" thickBot="1">
      <c r="A4" s="122" t="s">
        <v>42</v>
      </c>
      <c r="B4" s="126">
        <f>WACC2(B5,B2,B7,B3)</f>
        <v>6.6258878841594038E-2</v>
      </c>
      <c r="C4" s="126">
        <f t="shared" ref="C4:L4" si="1">WACC2(C5,C2,C7,C3)</f>
        <v>6.4042130128507999E-2</v>
      </c>
      <c r="D4" s="126">
        <f t="shared" si="1"/>
        <v>6.2009055196290026E-2</v>
      </c>
      <c r="E4" s="126">
        <f t="shared" si="1"/>
        <v>6.0383411842057859E-2</v>
      </c>
      <c r="F4" s="126">
        <f t="shared" si="1"/>
        <v>5.9475111491232933E-2</v>
      </c>
      <c r="G4" s="126">
        <f t="shared" si="1"/>
        <v>5.9707903148196947E-2</v>
      </c>
      <c r="H4" s="126">
        <f t="shared" si="1"/>
        <v>6.1655409534537631E-2</v>
      </c>
      <c r="I4" s="126">
        <f t="shared" si="1"/>
        <v>6.6087954263168117E-2</v>
      </c>
      <c r="J4" s="126">
        <f t="shared" si="1"/>
        <v>7.4033315872127831E-2</v>
      </c>
      <c r="K4" s="126">
        <f t="shared" si="1"/>
        <v>8.6855437550947129E-2</v>
      </c>
      <c r="L4" s="126">
        <f t="shared" si="1"/>
        <v>0.10635626488936173</v>
      </c>
      <c r="N4" s="43" t="s">
        <v>55</v>
      </c>
      <c r="O4" s="40">
        <f>P4/100</f>
        <v>0.39</v>
      </c>
      <c r="P4" s="42">
        <v>39</v>
      </c>
    </row>
    <row r="5" spans="1:16">
      <c r="A5" s="122" t="s">
        <v>52</v>
      </c>
      <c r="B5" s="127">
        <f>(WACC!$C$3)/(1+'Optimal Capital Structure'!O2)^(WACC!G19*10)</f>
        <v>6.6258878841594038E-2</v>
      </c>
      <c r="C5" s="127">
        <f>B5*(1+$O$2)</f>
        <v>6.9571822783673742E-2</v>
      </c>
      <c r="D5" s="127">
        <f t="shared" ref="D5:L5" si="2">C5*(1+$O$2)</f>
        <v>7.3050413922857438E-2</v>
      </c>
      <c r="E5" s="127">
        <f t="shared" si="2"/>
        <v>7.670293461900031E-2</v>
      </c>
      <c r="F5" s="127">
        <f t="shared" si="2"/>
        <v>8.053808134995033E-2</v>
      </c>
      <c r="G5" s="127">
        <f t="shared" si="2"/>
        <v>8.4564985417447849E-2</v>
      </c>
      <c r="H5" s="127">
        <f t="shared" si="2"/>
        <v>8.8793234688320247E-2</v>
      </c>
      <c r="I5" s="127">
        <f t="shared" si="2"/>
        <v>9.3232896422736258E-2</v>
      </c>
      <c r="J5" s="127">
        <f t="shared" si="2"/>
        <v>9.7894541243873076E-2</v>
      </c>
      <c r="K5" s="127">
        <f t="shared" si="2"/>
        <v>0.10278926830606673</v>
      </c>
      <c r="L5" s="127">
        <f t="shared" si="2"/>
        <v>0.10792873172137007</v>
      </c>
    </row>
    <row r="6" spans="1:16">
      <c r="A6" s="122" t="s">
        <v>53</v>
      </c>
      <c r="B6" s="127">
        <f>(WACC!$G$12)/(1+'Optimal Capital Structure'!$O$3)^(WACC!G19*10)</f>
        <v>1.8721175386250889E-2</v>
      </c>
      <c r="C6" s="127">
        <f>B6*(1+$O$3)</f>
        <v>2.340146923281361E-2</v>
      </c>
      <c r="D6" s="127">
        <f t="shared" ref="D6:L6" si="3">C6*(1+$O$3)</f>
        <v>2.9251836541017012E-2</v>
      </c>
      <c r="E6" s="127">
        <f t="shared" si="3"/>
        <v>3.6564795676271265E-2</v>
      </c>
      <c r="F6" s="127">
        <f t="shared" si="3"/>
        <v>4.5705994595339083E-2</v>
      </c>
      <c r="G6" s="127">
        <f t="shared" si="3"/>
        <v>5.7132493244173854E-2</v>
      </c>
      <c r="H6" s="127">
        <f t="shared" si="3"/>
        <v>7.1415616555217318E-2</v>
      </c>
      <c r="I6" s="127">
        <f t="shared" si="3"/>
        <v>8.9269520694021651E-2</v>
      </c>
      <c r="J6" s="127">
        <f t="shared" si="3"/>
        <v>0.11158690086752707</v>
      </c>
      <c r="K6" s="127">
        <f t="shared" si="3"/>
        <v>0.13948362608440884</v>
      </c>
      <c r="L6" s="127">
        <f t="shared" si="3"/>
        <v>0.17435453260551104</v>
      </c>
    </row>
    <row r="7" spans="1:16" ht="16" thickBot="1">
      <c r="A7" s="123" t="s">
        <v>54</v>
      </c>
      <c r="B7" s="127">
        <f>B6*(1-$O$4)</f>
        <v>1.1419916985613041E-2</v>
      </c>
      <c r="C7" s="127">
        <f t="shared" ref="C7:L7" si="4">C6*(1-$O$4)</f>
        <v>1.4274896232016302E-2</v>
      </c>
      <c r="D7" s="127">
        <f t="shared" si="4"/>
        <v>1.7843620290020377E-2</v>
      </c>
      <c r="E7" s="127">
        <f t="shared" si="4"/>
        <v>2.230452536252547E-2</v>
      </c>
      <c r="F7" s="127">
        <f t="shared" si="4"/>
        <v>2.7880656703156842E-2</v>
      </c>
      <c r="G7" s="127">
        <f t="shared" si="4"/>
        <v>3.4850820878946052E-2</v>
      </c>
      <c r="H7" s="127">
        <f t="shared" si="4"/>
        <v>4.356352609868256E-2</v>
      </c>
      <c r="I7" s="127">
        <f t="shared" si="4"/>
        <v>5.4454407623353206E-2</v>
      </c>
      <c r="J7" s="127">
        <f t="shared" si="4"/>
        <v>6.8068009529191509E-2</v>
      </c>
      <c r="K7" s="127">
        <f t="shared" si="4"/>
        <v>8.5085011911489386E-2</v>
      </c>
      <c r="L7" s="127">
        <f t="shared" si="4"/>
        <v>0.10635626488936173</v>
      </c>
    </row>
    <row r="8" spans="1:16">
      <c r="K8" s="76"/>
    </row>
  </sheetData>
  <pageMargins left="0.7" right="0.7" top="0.75" bottom="0.75" header="0.3" footer="0.3"/>
  <pageSetup orientation="portrait" horizontalDpi="4294967293"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Spinner 1">
              <controlPr defaultSize="0" autoPict="0">
                <anchor moveWithCells="1" sizeWithCells="1">
                  <from>
                    <xdr:col>14</xdr:col>
                    <xdr:colOff>685800</xdr:colOff>
                    <xdr:row>0</xdr:row>
                    <xdr:rowOff>63500</xdr:rowOff>
                  </from>
                  <to>
                    <xdr:col>16</xdr:col>
                    <xdr:colOff>279400</xdr:colOff>
                    <xdr:row>1</xdr:row>
                    <xdr:rowOff>292100</xdr:rowOff>
                  </to>
                </anchor>
              </controlPr>
            </control>
          </mc:Choice>
        </mc:AlternateContent>
        <mc:AlternateContent xmlns:mc="http://schemas.openxmlformats.org/markup-compatibility/2006">
          <mc:Choice Requires="x14">
            <control shapeId="6146" r:id="rId5" name="Spinner 2">
              <controlPr defaultSize="0" autoPict="0">
                <anchor moveWithCells="1" sizeWithCells="1">
                  <from>
                    <xdr:col>14</xdr:col>
                    <xdr:colOff>673100</xdr:colOff>
                    <xdr:row>1</xdr:row>
                    <xdr:rowOff>304800</xdr:rowOff>
                  </from>
                  <to>
                    <xdr:col>16</xdr:col>
                    <xdr:colOff>279400</xdr:colOff>
                    <xdr:row>2</xdr:row>
                    <xdr:rowOff>419100</xdr:rowOff>
                  </to>
                </anchor>
              </controlPr>
            </control>
          </mc:Choice>
        </mc:AlternateContent>
        <mc:AlternateContent xmlns:mc="http://schemas.openxmlformats.org/markup-compatibility/2006">
          <mc:Choice Requires="x14">
            <control shapeId="6148" r:id="rId6" name="Spinner 4">
              <controlPr defaultSize="0" autoPict="0">
                <anchor moveWithCells="1" sizeWithCells="1">
                  <from>
                    <xdr:col>14</xdr:col>
                    <xdr:colOff>685800</xdr:colOff>
                    <xdr:row>3</xdr:row>
                    <xdr:rowOff>25400</xdr:rowOff>
                  </from>
                  <to>
                    <xdr:col>16</xdr:col>
                    <xdr:colOff>279400</xdr:colOff>
                    <xdr:row>5</xdr:row>
                    <xdr:rowOff>88900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M4"/>
  <sheetViews>
    <sheetView workbookViewId="0">
      <selection activeCell="C1" sqref="C1:M1"/>
    </sheetView>
  </sheetViews>
  <sheetFormatPr baseColWidth="10" defaultColWidth="8.6640625" defaultRowHeight="15"/>
  <cols>
    <col min="1" max="1" width="8.6640625" style="28"/>
    <col min="2" max="2" width="64" style="28" customWidth="1"/>
    <col min="3" max="16384" width="8.6640625" style="28"/>
  </cols>
  <sheetData>
    <row r="1" spans="1:13" ht="55" customHeight="1">
      <c r="A1" s="70" t="s">
        <v>88</v>
      </c>
      <c r="B1" s="160" t="s">
        <v>92</v>
      </c>
      <c r="C1" s="163" t="s">
        <v>97</v>
      </c>
      <c r="D1" s="163"/>
      <c r="E1" s="163"/>
      <c r="F1" s="163"/>
      <c r="G1" s="163"/>
      <c r="H1" s="163"/>
      <c r="I1" s="163"/>
      <c r="J1" s="163"/>
      <c r="K1" s="163"/>
      <c r="L1" s="163"/>
      <c r="M1" s="163"/>
    </row>
    <row r="2" spans="1:13" ht="56" customHeight="1">
      <c r="A2" s="70" t="s">
        <v>89</v>
      </c>
      <c r="B2" s="160" t="s">
        <v>93</v>
      </c>
      <c r="C2" s="164" t="s">
        <v>95</v>
      </c>
      <c r="D2" s="164"/>
      <c r="E2" s="164"/>
      <c r="F2" s="164"/>
      <c r="G2" s="164"/>
      <c r="H2" s="164"/>
      <c r="I2" s="164"/>
      <c r="J2" s="164"/>
      <c r="K2" s="164"/>
      <c r="L2" s="164"/>
      <c r="M2" s="164"/>
    </row>
    <row r="3" spans="1:13" ht="49" customHeight="1">
      <c r="A3" s="161" t="s">
        <v>90</v>
      </c>
      <c r="B3" s="162" t="s">
        <v>94</v>
      </c>
      <c r="C3" s="165" t="s">
        <v>96</v>
      </c>
      <c r="D3" s="166"/>
      <c r="E3" s="166"/>
      <c r="F3" s="166"/>
      <c r="G3" s="166"/>
      <c r="H3" s="166"/>
      <c r="I3" s="166"/>
      <c r="J3" s="166"/>
      <c r="K3" s="166"/>
      <c r="L3" s="166"/>
      <c r="M3" s="167"/>
    </row>
    <row r="4" spans="1:13" ht="22" customHeight="1">
      <c r="B4" s="162"/>
      <c r="C4" s="168"/>
      <c r="D4" s="169"/>
      <c r="E4" s="169"/>
      <c r="F4" s="169"/>
      <c r="G4" s="169"/>
      <c r="H4" s="169"/>
      <c r="I4" s="169"/>
      <c r="J4" s="169"/>
      <c r="K4" s="169"/>
      <c r="L4" s="169"/>
      <c r="M4" s="170"/>
    </row>
  </sheetData>
  <mergeCells count="4">
    <mergeCell ref="B3:B4"/>
    <mergeCell ref="C1:M1"/>
    <mergeCell ref="C2:M2"/>
    <mergeCell ref="C3:M4"/>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5</vt:i4>
      </vt:variant>
    </vt:vector>
  </HeadingPairs>
  <TitlesOfParts>
    <vt:vector size="5" baseType="lpstr">
      <vt:lpstr>Key</vt:lpstr>
      <vt:lpstr>WACC</vt:lpstr>
      <vt:lpstr>Break-even EBIT</vt:lpstr>
      <vt:lpstr>Optimal Capital Structure</vt:lpstr>
      <vt:lpstr>Questions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Christine Ferris</dc:creator>
  <cp:lastModifiedBy>Microsoft Office User</cp:lastModifiedBy>
  <dcterms:created xsi:type="dcterms:W3CDTF">2018-04-13T06:43:43Z</dcterms:created>
  <dcterms:modified xsi:type="dcterms:W3CDTF">2019-10-29T02:09:33Z</dcterms:modified>
</cp:coreProperties>
</file>